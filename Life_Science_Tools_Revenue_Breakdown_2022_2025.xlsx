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otal Revenue" sheetId="2" state="visible" r:id="rId2"/>
    <sheet xmlns:r="http://schemas.openxmlformats.org/officeDocument/2006/relationships" name="Product-Service" sheetId="3" state="visible" r:id="rId3"/>
    <sheet xmlns:r="http://schemas.openxmlformats.org/officeDocument/2006/relationships" name="Proxy Breakdowns" sheetId="4" state="visible" r:id="rId4"/>
    <sheet xmlns:r="http://schemas.openxmlformats.org/officeDocument/2006/relationships" name="4Y Mix Summary" sheetId="5" state="visible" r:id="rId5"/>
    <sheet xmlns:r="http://schemas.openxmlformats.org/officeDocument/2006/relationships" name="Sources &amp; Notes" sheetId="6" state="visible" r:id="rId6"/>
  </sheets>
  <definedNames>
    <definedName name="_xlnm._FilterDatabase" localSheetId="1" hidden="1">'Total Revenue'!$A$4:$J$16</definedName>
    <definedName name="_xlnm._FilterDatabase" localSheetId="2" hidden="1">'Product-Service'!$A$4:$O$40</definedName>
    <definedName name="_xlnm._FilterDatabase" localSheetId="3" hidden="1">'Proxy Breakdowns'!$A$4:$N$16</definedName>
    <definedName name="_xlnm._FilterDatabase" localSheetId="4" hidden="1">'4Y Mix Summary'!$A$4:$M$13</definedName>
    <definedName name="_xlnm._FilterDatabase" localSheetId="5" hidden="1">'Sources &amp; Notes'!$A$4:$F$16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#,##0.0;[Red](#,##0.0);-"/>
    <numFmt numFmtId="165" formatCode="0.0%;[Red](0.0%);-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666666"/>
      <sz val="10"/>
    </font>
    <font>
      <name val="Arial"/>
      <b val="1"/>
      <color rgb="00000000"/>
      <sz val="10"/>
    </font>
    <font>
      <name val="Arial"/>
      <color rgb="00666666"/>
      <sz val="10"/>
    </font>
    <font>
      <name val="Arial"/>
      <b val="1"/>
      <color rgb="0017365D"/>
      <sz val="11"/>
    </font>
    <font>
      <name val="Arial"/>
      <color rgb="00000000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Calibri"/>
      <family val="2"/>
      <color theme="10"/>
      <sz val="12"/>
      <scheme val="minor"/>
    </font>
    <font>
      <name val="Arial"/>
      <color rgb="00008000"/>
      <sz val="1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7F6000"/>
      </patternFill>
    </fill>
  </fills>
  <borders count="4">
    <border>
      <left/>
      <right/>
      <top/>
      <bottom/>
      <diagonal/>
    </border>
    <border>
      <bottom style="medium">
        <color rgb="0017365D"/>
      </bottom>
    </border>
    <border>
      <top style="medium">
        <color rgb="0017365D"/>
      </top>
    </border>
    <border>
      <left/>
      <right/>
      <top style="medium">
        <color rgb="0017365D"/>
      </top>
      <bottom/>
      <diagonal/>
    </border>
  </borders>
  <cellStyleXfs count="2">
    <xf numFmtId="0" fontId="0" fillId="0" borderId="0"/>
    <xf numFmtId="0" fontId="9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164" fontId="8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0" fontId="9" fillId="0" borderId="0" applyAlignment="1" pivotButton="0" quotePrefix="0" xfId="1">
      <alignment vertical="center"/>
    </xf>
    <xf numFmtId="0" fontId="3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164" fontId="3" fillId="0" borderId="2" applyAlignment="1" pivotButton="0" quotePrefix="0" xfId="0">
      <alignment vertical="center"/>
    </xf>
    <xf numFmtId="165" fontId="3" fillId="0" borderId="2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 wrapText="1"/>
    </xf>
    <xf numFmtId="0" fontId="9" fillId="0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9" fillId="0" borderId="0" pivotButton="0" quotePrefix="0" xfId="1"/>
    <xf numFmtId="0" fontId="0" fillId="0" borderId="3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2025 Revenue ($mm)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'Total Revenue'!F4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'Total Revenue'!$A$5:$A$16</f>
            </numRef>
          </cat>
          <val>
            <numRef>
              <f>'Total Revenue'!$F$5:$F$16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$mm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C5" authorId="0" shapeId="0">
      <text>
        <t>Source(s) used in the earlier compilation:
https://s24.q4cdn.com/305549747/files/doc_financials/2025/ar/A-ARS-10-K-BMK-2025.pdf
https://s24.q4cdn.com/305549747/files/doc_financials/2023/ar/agilent-form-10-k_fy23.pdf
Values should be checked against the cited filing before publication, particularly where 2025 data or proxy categories are involved.</t>
      </text>
    </comment>
    <comment ref="D5" authorId="0" shapeId="0">
      <text>
        <t>Source(s) used in the earlier compilation:
https://s24.q4cdn.com/305549747/files/doc_financials/2025/ar/A-ARS-10-K-BMK-2025.pdf
https://s24.q4cdn.com/305549747/files/doc_financials/2023/ar/agilent-form-10-k_fy23.pdf
Values should be checked against the cited filing before publication, particularly where 2025 data or proxy categories are involved.</t>
      </text>
    </comment>
    <comment ref="E5" authorId="0" shapeId="0">
      <text>
        <t>Source(s) used in the earlier compilation:
https://s24.q4cdn.com/305549747/files/doc_financials/2025/ar/A-ARS-10-K-BMK-2025.pdf
https://s24.q4cdn.com/305549747/files/doc_financials/2023/ar/agilent-form-10-k_fy23.pdf
Values should be checked against the cited filing before publication, particularly where 2025 data or proxy categories are involved.</t>
      </text>
    </comment>
    <comment ref="F5" authorId="0" shapeId="0">
      <text>
        <t>Source(s) used in the earlier compilation:
https://s24.q4cdn.com/305549747/files/doc_financials/2025/ar/A-ARS-10-K-BMK-2025.pdf
https://s24.q4cdn.com/305549747/files/doc_financials/2023/ar/agilent-form-10-k_fy23.pdf
Values should be checked against the cited filing before publication, particularly where 2025 data or proxy categories are involved.</t>
      </text>
    </comment>
    <comment ref="C6" authorId="0" shapeId="0">
      <text>
        <t>Source(s) used in the earlier compilation:
https://www.sec.gov/Archives/edgar/data/12208/000001220826000010/bio-20251231.htm
https://www.sec.gov/Archives/edgar/data/12208/000001220825000007/bio-20241231.htm
Values should be checked against the cited filing before publication, particularly where 2025 data or proxy categories are involved.</t>
      </text>
    </comment>
    <comment ref="D6" authorId="0" shapeId="0">
      <text>
        <t>Source(s) used in the earlier compilation:
https://www.sec.gov/Archives/edgar/data/12208/000001220826000010/bio-20251231.htm
https://www.sec.gov/Archives/edgar/data/12208/000001220825000007/bio-20241231.htm
Values should be checked against the cited filing before publication, particularly where 2025 data or proxy categories are involved.</t>
      </text>
    </comment>
    <comment ref="E6" authorId="0" shapeId="0">
      <text>
        <t>Source(s) used in the earlier compilation:
https://www.sec.gov/Archives/edgar/data/12208/000001220826000010/bio-20251231.htm
https://www.sec.gov/Archives/edgar/data/12208/000001220825000007/bio-20241231.htm
Values should be checked against the cited filing before publication, particularly where 2025 data or proxy categories are involved.</t>
      </text>
    </comment>
    <comment ref="F6" authorId="0" shapeId="0">
      <text>
        <t>Source(s) used in the earlier compilation:
https://www.sec.gov/Archives/edgar/data/12208/000001220826000010/bio-20251231.htm
https://www.sec.gov/Archives/edgar/data/12208/000001220825000007/bio-20241231.htm
Values should be checked against the cited filing before publication, particularly where 2025 data or proxy categories are involved.</t>
      </text>
    </comment>
    <comment ref="C7" authorId="0" shapeId="0">
      <text>
        <t>Source(s) used in the earlier compilation:
https://s22.q4cdn.com/617463959/files/doc_financials/2025/ar/2025-Bruker-Annual-Report.pdf
https://annualreport.stocklight.com/nasdaq/brkr/23688325.pdf
Values should be checked against the cited filing before publication, particularly where 2025 data or proxy categories are involved.</t>
      </text>
    </comment>
    <comment ref="D7" authorId="0" shapeId="0">
      <text>
        <t>Source(s) used in the earlier compilation:
https://s22.q4cdn.com/617463959/files/doc_financials/2025/ar/2025-Bruker-Annual-Report.pdf
https://annualreport.stocklight.com/nasdaq/brkr/23688325.pdf
Values should be checked against the cited filing before publication, particularly where 2025 data or proxy categories are involved.</t>
      </text>
    </comment>
    <comment ref="E7" authorId="0" shapeId="0">
      <text>
        <t>Source(s) used in the earlier compilation:
https://s22.q4cdn.com/617463959/files/doc_financials/2025/ar/2025-Bruker-Annual-Report.pdf
https://annualreport.stocklight.com/nasdaq/brkr/23688325.pdf
Values should be checked against the cited filing before publication, particularly where 2025 data or proxy categories are involved.</t>
      </text>
    </comment>
    <comment ref="F7" authorId="0" shapeId="0">
      <text>
        <t>Source(s) used in the earlier compilation:
https://s22.q4cdn.com/617463959/files/doc_financials/2025/ar/2025-Bruker-Annual-Report.pdf
https://annualreport.stocklight.com/nasdaq/brkr/23688325.pdf
Values should be checked against the cited filing before publication, particularly where 2025 data or proxy categories are involved.</t>
      </text>
    </comment>
    <comment ref="C8" authorId="0" shapeId="0">
      <text>
        <t>Source(s) used in the earlier compilation:
https://filecache.investorroom.com/mr5ir_danaher/974/Danaher%202025%20Annual%20Report.pdf
https://www.sec.gov/Archives/edgar/data/313616/000031361624000052/dhr-20231231.htm
Values should be checked against the cited filing before publication, particularly where 2025 data or proxy categories are involved.</t>
      </text>
    </comment>
    <comment ref="D8" authorId="0" shapeId="0">
      <text>
        <t>Source(s) used in the earlier compilation:
https://filecache.investorroom.com/mr5ir_danaher/974/Danaher%202025%20Annual%20Report.pdf
https://www.sec.gov/Archives/edgar/data/313616/000031361624000052/dhr-20231231.htm
Values should be checked against the cited filing before publication, particularly where 2025 data or proxy categories are involved.</t>
      </text>
    </comment>
    <comment ref="E8" authorId="0" shapeId="0">
      <text>
        <t>Source(s) used in the earlier compilation:
https://filecache.investorroom.com/mr5ir_danaher/974/Danaher%202025%20Annual%20Report.pdf
https://www.sec.gov/Archives/edgar/data/313616/000031361624000052/dhr-20231231.htm
Values should be checked against the cited filing before publication, particularly where 2025 data or proxy categories are involved.</t>
      </text>
    </comment>
    <comment ref="F8" authorId="0" shapeId="0">
      <text>
        <t>Source(s) used in the earlier compilation:
https://filecache.investorroom.com/mr5ir_danaher/974/Danaher%202025%20Annual%20Report.pdf
https://www.sec.gov/Archives/edgar/data/313616/000031361624000052/dhr-20231231.htm
Values should be checked against the cited filing before publication, particularly where 2025 data or proxy categories are involved.</t>
      </text>
    </comment>
    <comment ref="C9" authorId="0" shapeId="0">
      <text>
        <t>Source(s) used in the earlier compilation:
https://www.sec.gov/Archives/edgar/data/1110803/000111080326000024/ilmn-20251228.htm
https://www.sec.gov/Archives/edgar/data/1110803/000119312524087278/d534823dars.pdf
Values should be checked against the cited filing before publication, particularly where 2025 data or proxy categories are involved.</t>
      </text>
    </comment>
    <comment ref="D9" authorId="0" shapeId="0">
      <text>
        <t>Source(s) used in the earlier compilation:
https://www.sec.gov/Archives/edgar/data/1110803/000111080326000024/ilmn-20251228.htm
https://www.sec.gov/Archives/edgar/data/1110803/000119312524087278/d534823dars.pdf
Values should be checked against the cited filing before publication, particularly where 2025 data or proxy categories are involved.</t>
      </text>
    </comment>
    <comment ref="E9" authorId="0" shapeId="0">
      <text>
        <t>Source(s) used in the earlier compilation:
https://www.sec.gov/Archives/edgar/data/1110803/000111080326000024/ilmn-20251228.htm
https://www.sec.gov/Archives/edgar/data/1110803/000119312524087278/d534823dars.pdf
Values should be checked against the cited filing before publication, particularly where 2025 data or proxy categories are involved.</t>
      </text>
    </comment>
    <comment ref="F9" authorId="0" shapeId="0">
      <text>
        <t>Source(s) used in the earlier compilation:
https://www.sec.gov/Archives/edgar/data/1110803/000111080326000024/ilmn-20251228.htm
https://www.sec.gov/Archives/edgar/data/1110803/000119312524087278/d534823dars.pdf
Values should be checked against the cited filing before publication, particularly where 2025 data or proxy categories are involved.</t>
      </text>
    </comment>
    <comment ref="C10" authorId="0" shapeId="0">
      <text>
        <t>Source(s) used in the earlier compilation:
https://d18rn0p25nwr6d.cloudfront.net/CIK-0001037646/074ad430-471b-498e-a0f5-1f794b20eeee.pdf
Values should be checked against the cited filing before publication, particularly where 2025 data or proxy categories are involved.</t>
      </text>
    </comment>
    <comment ref="D10" authorId="0" shapeId="0">
      <text>
        <t>Source(s) used in the earlier compilation:
https://d18rn0p25nwr6d.cloudfront.net/CIK-0001037646/074ad430-471b-498e-a0f5-1f794b20eeee.pdf
Values should be checked against the cited filing before publication, particularly where 2025 data or proxy categories are involved.</t>
      </text>
    </comment>
    <comment ref="E10" authorId="0" shapeId="0">
      <text>
        <t>Source(s) used in the earlier compilation:
https://d18rn0p25nwr6d.cloudfront.net/CIK-0001037646/074ad430-471b-498e-a0f5-1f794b20eeee.pdf
Values should be checked against the cited filing before publication, particularly where 2025 data or proxy categories are involved.</t>
      </text>
    </comment>
    <comment ref="F10" authorId="0" shapeId="0">
      <text>
        <t>Source(s) used in the earlier compilation:
https://d18rn0p25nwr6d.cloudfront.net/CIK-0001037646/074ad430-471b-498e-a0f5-1f794b20eeee.pdf
Values should be checked against the cited filing before publication, particularly where 2025 data or proxy categories are involved.</t>
      </text>
    </comment>
    <comment ref="C11" authorId="0" shapeId="0">
      <text>
        <t>Source(s) used in the earlier compilation:
https://www.sec.gov/Archives/edgar/data/1299130/000129913024000054/pacb-20231231.htm
Values should be checked against the cited filing before publication, particularly where 2025 data or proxy categories are involved.</t>
      </text>
    </comment>
    <comment ref="D11" authorId="0" shapeId="0">
      <text>
        <t>Source(s) used in the earlier compilation:
https://www.sec.gov/Archives/edgar/data/1299130/000129913024000054/pacb-20231231.htm
Values should be checked against the cited filing before publication, particularly where 2025 data or proxy categories are involved.</t>
      </text>
    </comment>
    <comment ref="E11" authorId="0" shapeId="0">
      <text>
        <t>Source(s) used in the earlier compilation:
https://www.sec.gov/Archives/edgar/data/1299130/000129913024000054/pacb-20231231.htm
Values should be checked against the cited filing before publication, particularly where 2025 data or proxy categories are involved.</t>
      </text>
    </comment>
    <comment ref="F11" authorId="0" shapeId="0">
      <text>
        <t>Source(s) used in the earlier compilation:
https://www.sec.gov/Archives/edgar/data/1299130/000129913024000054/pacb-20231231.htm
Values should be checked against the cited filing before publication, particularly where 2025 data or proxy categories are involved.</t>
      </text>
    </comment>
    <comment ref="C12" authorId="0" shapeId="0">
      <text>
        <t>Source(s) used in the earlier compilation:
https://s28.q4cdn.com/125951340/files/doc_financials/2023/ar/Cover-2023-20-F-Final-w-exhibits.pdf
https://www.marketscreener.com/news/qiagen-n-2025-annual-report-2025-annual-financial-report-ce7f5bded889f322
Values should be checked against the cited filing before publication, particularly where 2025 data or proxy categories are involved.</t>
      </text>
    </comment>
    <comment ref="D12" authorId="0" shapeId="0">
      <text>
        <t>Source(s) used in the earlier compilation:
https://s28.q4cdn.com/125951340/files/doc_financials/2023/ar/Cover-2023-20-F-Final-w-exhibits.pdf
https://www.marketscreener.com/news/qiagen-n-2025-annual-report-2025-annual-financial-report-ce7f5bded889f322
Values should be checked against the cited filing before publication, particularly where 2025 data or proxy categories are involved.</t>
      </text>
    </comment>
    <comment ref="E12" authorId="0" shapeId="0">
      <text>
        <t>Source(s) used in the earlier compilation:
https://s28.q4cdn.com/125951340/files/doc_financials/2023/ar/Cover-2023-20-F-Final-w-exhibits.pdf
https://www.marketscreener.com/news/qiagen-n-2025-annual-report-2025-annual-financial-report-ce7f5bded889f322
Values should be checked against the cited filing before publication, particularly where 2025 data or proxy categories are involved.</t>
      </text>
    </comment>
    <comment ref="F12" authorId="0" shapeId="0">
      <text>
        <t>Source(s) used in the earlier compilation:
https://s28.q4cdn.com/125951340/files/doc_financials/2023/ar/Cover-2023-20-F-Final-w-exhibits.pdf
https://www.marketscreener.com/news/qiagen-n-2025-annual-report-2025-annual-financial-report-ce7f5bded889f322
Values should be checked against the cited filing before publication, particularly where 2025 data or proxy categories are involved.</t>
      </text>
    </comment>
    <comment ref="C13" authorId="0" shapeId="0">
      <text>
        <t>Source(s) used in the earlier compilation:
https://www.sec.gov/Archives/edgar/data/31791/000003179125000009/revv-20241229.htm
Values should be checked against the cited filing before publication, particularly where 2025 data or proxy categories are involved.</t>
      </text>
    </comment>
    <comment ref="D13" authorId="0" shapeId="0">
      <text>
        <t>Source(s) used in the earlier compilation:
https://www.sec.gov/Archives/edgar/data/31791/000003179125000009/revv-20241229.htm
Values should be checked against the cited filing before publication, particularly where 2025 data or proxy categories are involved.</t>
      </text>
    </comment>
    <comment ref="E13" authorId="0" shapeId="0">
      <text>
        <t>Source(s) used in the earlier compilation:
https://www.sec.gov/Archives/edgar/data/31791/000003179125000009/revv-20241229.htm
Values should be checked against the cited filing before publication, particularly where 2025 data or proxy categories are involved.</t>
      </text>
    </comment>
    <comment ref="F13" authorId="0" shapeId="0">
      <text>
        <t>Source(s) used in the earlier compilation:
https://www.sec.gov/Archives/edgar/data/31791/000003179125000009/revv-20241229.htm
Values should be checked against the cited filing before publication, particularly where 2025 data or proxy categories are involved.</t>
      </text>
    </comment>
    <comment ref="C14" authorId="0" shapeId="0">
      <text>
        <t>Source(s) used in the earlier compilation:
https://www.sec.gov/Archives/edgar/data/842023/000155837025011716/tech-20250630x10k.htm
Values should be checked against the cited filing before publication, particularly where 2025 data or proxy categories are involved.</t>
      </text>
    </comment>
    <comment ref="D14" authorId="0" shapeId="0">
      <text>
        <t>Source(s) used in the earlier compilation:
https://www.sec.gov/Archives/edgar/data/842023/000155837025011716/tech-20250630x10k.htm
Values should be checked against the cited filing before publication, particularly where 2025 data or proxy categories are involved.</t>
      </text>
    </comment>
    <comment ref="E14" authorId="0" shapeId="0">
      <text>
        <t>Source(s) used in the earlier compilation:
https://www.sec.gov/Archives/edgar/data/842023/000155837025011716/tech-20250630x10k.htm
Values should be checked against the cited filing before publication, particularly where 2025 data or proxy categories are involved.</t>
      </text>
    </comment>
    <comment ref="F14" authorId="0" shapeId="0">
      <text>
        <t>Source(s) used in the earlier compilation:
https://www.sec.gov/Archives/edgar/data/842023/000155837025011716/tech-20250630x10k.htm
Values should be checked against the cited filing before publication, particularly where 2025 data or proxy categories are involved.</t>
      </text>
    </comment>
    <comment ref="C15" authorId="0" shapeId="0">
      <text>
        <t>Source(s) used in the compilation:
https://www.sec.gov/Archives/edgar/data/97745/000009774526000018/tmo-20251231.htm
Product and service components are rounded to whole millions and may not sum exactly to reported total revenue.</t>
      </text>
    </comment>
    <comment ref="D15" authorId="0" shapeId="0">
      <text>
        <t>Source(s) used in the compilation:
https://www.sec.gov/Archives/edgar/data/97745/000009774526000018/tmo-20251231.htm
Product and service components are rounded to whole millions and may not sum exactly to reported total revenue.</t>
      </text>
    </comment>
    <comment ref="E15" authorId="0" shapeId="0">
      <text>
        <t>Source(s) used in the compilation:
https://www.sec.gov/Archives/edgar/data/97745/000009774526000018/tmo-20251231.htm
Product and service components are rounded to whole millions and may not sum exactly to reported total revenue.</t>
      </text>
    </comment>
    <comment ref="F15" authorId="0" shapeId="0">
      <text>
        <t>Source(s) used in the compilation:
https://www.sec.gov/Archives/edgar/data/97745/000009774526000018/tmo-20251231.htm
Product and service components are rounded to whole millions and may not sum exactly to reported total revenue.</t>
      </text>
    </comment>
    <comment ref="C16" authorId="0" shapeId="0">
      <text>
        <t>Source(s) used in the earlier compilation:
https://www.sec.gov/Archives/edgar/data/1000697/000119312525034579/d791800d10k.htm
Values should be checked against the cited filing before publication, particularly where 2025 data or proxy categories are involved.</t>
      </text>
    </comment>
    <comment ref="D16" authorId="0" shapeId="0">
      <text>
        <t>Source(s) used in the earlier compilation:
https://www.sec.gov/Archives/edgar/data/1000697/000119312525034579/d791800d10k.htm
Values should be checked against the cited filing before publication, particularly where 2025 data or proxy categories are involved.</t>
      </text>
    </comment>
    <comment ref="E16" authorId="0" shapeId="0">
      <text>
        <t>Source(s) used in the earlier compilation:
https://www.sec.gov/Archives/edgar/data/1000697/000119312525034579/d791800d10k.htm
Values should be checked against the cited filing before publication, particularly where 2025 data or proxy categories are involved.</t>
      </text>
    </comment>
    <comment ref="F16" authorId="0" shapeId="0">
      <text>
        <t>Source(s) used in the earlier compilation:
https://www.sec.gov/Archives/edgar/data/1000697/000119312525034579/d791800d10k.htm
Values should be checked against the cited filing before publication, particularly where 2025 data or proxy categories are involved.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E5" authorId="0" shapeId="0">
      <text>
        <t>Source(s) used in the earlier compilation:
https://s24.q4cdn.com/305549747/files/doc_financials/2025/ar/A-ARS-10-K-BMK-2025.pdf
https://s24.q4cdn.com/305549747/files/doc_financials/2023/ar/agilent-form-10-k_fy23.pdf
Values should be checked against the cited filing before publication, particularly where 2025 data or proxy categories are involved.</t>
      </text>
    </comment>
    <comment ref="F5" authorId="0" shapeId="0">
      <text>
        <t>Source(s) used in the earlier compilation:
https://s24.q4cdn.com/305549747/files/doc_financials/2025/ar/A-ARS-10-K-BMK-2025.pdf
https://s24.q4cdn.com/305549747/files/doc_financials/2023/ar/agilent-form-10-k_fy23.pdf
Values should be checked against the cited filing before publication, particularly where 2025 data or proxy categories are involved.</t>
      </text>
    </comment>
    <comment ref="G5" authorId="0" shapeId="0">
      <text>
        <t>Source(s) used in the earlier compilation:
https://s24.q4cdn.com/305549747/files/doc_financials/2025/ar/A-ARS-10-K-BMK-2025.pdf
https://s24.q4cdn.com/305549747/files/doc_financials/2023/ar/agilent-form-10-k_fy23.pdf
Values should be checked against the cited filing before publication, particularly where 2025 data or proxy categories are involved.</t>
      </text>
    </comment>
    <comment ref="E6" authorId="0" shapeId="0">
      <text>
        <t>Source(s) used in the earlier compilation:
https://s24.q4cdn.com/305549747/files/doc_financials/2025/ar/A-ARS-10-K-BMK-2025.pdf
https://s24.q4cdn.com/305549747/files/doc_financials/2023/ar/agilent-form-10-k_fy23.pdf
Values should be checked against the cited filing before publication, particularly where 2025 data or proxy categories are involved.</t>
      </text>
    </comment>
    <comment ref="F6" authorId="0" shapeId="0">
      <text>
        <t>Source(s) used in the earlier compilation:
https://s24.q4cdn.com/305549747/files/doc_financials/2025/ar/A-ARS-10-K-BMK-2025.pdf
https://s24.q4cdn.com/305549747/files/doc_financials/2023/ar/agilent-form-10-k_fy23.pdf
Values should be checked against the cited filing before publication, particularly where 2025 data or proxy categories are involved.</t>
      </text>
    </comment>
    <comment ref="G6" authorId="0" shapeId="0">
      <text>
        <t>Source(s) used in the earlier compilation:
https://s24.q4cdn.com/305549747/files/doc_financials/2025/ar/A-ARS-10-K-BMK-2025.pdf
https://s24.q4cdn.com/305549747/files/doc_financials/2023/ar/agilent-form-10-k_fy23.pdf
Values should be checked against the cited filing before publication, particularly where 2025 data or proxy categories are involved.</t>
      </text>
    </comment>
    <comment ref="E7" authorId="0" shapeId="0">
      <text>
        <t>Source(s) used in the earlier compilation:
https://s24.q4cdn.com/305549747/files/doc_financials/2025/ar/A-ARS-10-K-BMK-2025.pdf
https://s24.q4cdn.com/305549747/files/doc_financials/2023/ar/agilent-form-10-k_fy23.pdf
Values should be checked against the cited filing before publication, particularly where 2025 data or proxy categories are involved.</t>
      </text>
    </comment>
    <comment ref="F7" authorId="0" shapeId="0">
      <text>
        <t>Source(s) used in the earlier compilation:
https://s24.q4cdn.com/305549747/files/doc_financials/2025/ar/A-ARS-10-K-BMK-2025.pdf
https://s24.q4cdn.com/305549747/files/doc_financials/2023/ar/agilent-form-10-k_fy23.pdf
Values should be checked against the cited filing before publication, particularly where 2025 data or proxy categories are involved.</t>
      </text>
    </comment>
    <comment ref="G7" authorId="0" shapeId="0">
      <text>
        <t>Source(s) used in the earlier compilation:
https://s24.q4cdn.com/305549747/files/doc_financials/2025/ar/A-ARS-10-K-BMK-2025.pdf
https://s24.q4cdn.com/305549747/files/doc_financials/2023/ar/agilent-form-10-k_fy23.pdf
Values should be checked against the cited filing before publication, particularly where 2025 data or proxy categories are involved.</t>
      </text>
    </comment>
    <comment ref="E8" authorId="0" shapeId="0">
      <text>
        <t>Source(s) used in the earlier compilation:
https://s24.q4cdn.com/305549747/files/doc_financials/2025/ar/A-ARS-10-K-BMK-2025.pdf
https://s24.q4cdn.com/305549747/files/doc_financials/2023/ar/agilent-form-10-k_fy23.pdf
Values should be checked against the cited filing before publication, particularly where 2025 data or proxy categories are involved.</t>
      </text>
    </comment>
    <comment ref="F8" authorId="0" shapeId="0">
      <text>
        <t>Source(s) used in the earlier compilation:
https://s24.q4cdn.com/305549747/files/doc_financials/2025/ar/A-ARS-10-K-BMK-2025.pdf
https://s24.q4cdn.com/305549747/files/doc_financials/2023/ar/agilent-form-10-k_fy23.pdf
Values should be checked against the cited filing before publication, particularly where 2025 data or proxy categories are involved.</t>
      </text>
    </comment>
    <comment ref="G8" authorId="0" shapeId="0">
      <text>
        <t>Source(s) used in the earlier compilation:
https://s24.q4cdn.com/305549747/files/doc_financials/2025/ar/A-ARS-10-K-BMK-2025.pdf
https://s24.q4cdn.com/305549747/files/doc_financials/2023/ar/agilent-form-10-k_fy23.pdf
Values should be checked against the cited filing before publication, particularly where 2025 data or proxy categories are involved.</t>
      </text>
    </comment>
    <comment ref="E9" authorId="0" shapeId="0">
      <text>
        <t>Source(s) used in the earlier compilation:
https://s22.q4cdn.com/617463959/files/doc_financials/2025/ar/2025-Bruker-Annual-Report.pdf
https://annualreport.stocklight.com/nasdaq/brkr/23688325.pdf
Values should be checked against the cited filing before publication, particularly where 2025 data or proxy categories are involved.</t>
      </text>
    </comment>
    <comment ref="F9" authorId="0" shapeId="0">
      <text>
        <t>Source(s) used in the earlier compilation:
https://s22.q4cdn.com/617463959/files/doc_financials/2025/ar/2025-Bruker-Annual-Report.pdf
https://annualreport.stocklight.com/nasdaq/brkr/23688325.pdf
Values should be checked against the cited filing before publication, particularly where 2025 data or proxy categories are involved.</t>
      </text>
    </comment>
    <comment ref="G9" authorId="0" shapeId="0">
      <text>
        <t>Source(s) used in the earlier compilation:
https://s22.q4cdn.com/617463959/files/doc_financials/2025/ar/2025-Bruker-Annual-Report.pdf
https://annualreport.stocklight.com/nasdaq/brkr/23688325.pdf
Values should be checked against the cited filing before publication, particularly where 2025 data or proxy categories are involved.</t>
      </text>
    </comment>
    <comment ref="E10" authorId="0" shapeId="0">
      <text>
        <t>Source(s) used in the earlier compilation:
https://s22.q4cdn.com/617463959/files/doc_financials/2025/ar/2025-Bruker-Annual-Report.pdf
https://annualreport.stocklight.com/nasdaq/brkr/23688325.pdf
Values should be checked against the cited filing before publication, particularly where 2025 data or proxy categories are involved.</t>
      </text>
    </comment>
    <comment ref="F10" authorId="0" shapeId="0">
      <text>
        <t>Source(s) used in the earlier compilation:
https://s22.q4cdn.com/617463959/files/doc_financials/2025/ar/2025-Bruker-Annual-Report.pdf
https://annualreport.stocklight.com/nasdaq/brkr/23688325.pdf
Values should be checked against the cited filing before publication, particularly where 2025 data or proxy categories are involved.</t>
      </text>
    </comment>
    <comment ref="G10" authorId="0" shapeId="0">
      <text>
        <t>Source(s) used in the earlier compilation:
https://s22.q4cdn.com/617463959/files/doc_financials/2025/ar/2025-Bruker-Annual-Report.pdf
https://annualreport.stocklight.com/nasdaq/brkr/23688325.pdf
Values should be checked against the cited filing before publication, particularly where 2025 data or proxy categories are involved.</t>
      </text>
    </comment>
    <comment ref="E11" authorId="0" shapeId="0">
      <text>
        <t>Source(s) used in the earlier compilation:
https://s22.q4cdn.com/617463959/files/doc_financials/2025/ar/2025-Bruker-Annual-Report.pdf
https://annualreport.stocklight.com/nasdaq/brkr/23688325.pdf
Values should be checked against the cited filing before publication, particularly where 2025 data or proxy categories are involved.</t>
      </text>
    </comment>
    <comment ref="F11" authorId="0" shapeId="0">
      <text>
        <t>Source(s) used in the earlier compilation:
https://s22.q4cdn.com/617463959/files/doc_financials/2025/ar/2025-Bruker-Annual-Report.pdf
https://annualreport.stocklight.com/nasdaq/brkr/23688325.pdf
Values should be checked against the cited filing before publication, particularly where 2025 data or proxy categories are involved.</t>
      </text>
    </comment>
    <comment ref="G11" authorId="0" shapeId="0">
      <text>
        <t>Source(s) used in the earlier compilation:
https://s22.q4cdn.com/617463959/files/doc_financials/2025/ar/2025-Bruker-Annual-Report.pdf
https://annualreport.stocklight.com/nasdaq/brkr/23688325.pdf
Values should be checked against the cited filing before publication, particularly where 2025 data or proxy categories are involved.</t>
      </text>
    </comment>
    <comment ref="E12" authorId="0" shapeId="0">
      <text>
        <t>Source(s) used in the earlier compilation:
https://s22.q4cdn.com/617463959/files/doc_financials/2025/ar/2025-Bruker-Annual-Report.pdf
https://annualreport.stocklight.com/nasdaq/brkr/23688325.pdf
Values should be checked against the cited filing before publication, particularly where 2025 data or proxy categories are involved.</t>
      </text>
    </comment>
    <comment ref="F12" authorId="0" shapeId="0">
      <text>
        <t>Source(s) used in the earlier compilation:
https://s22.q4cdn.com/617463959/files/doc_financials/2025/ar/2025-Bruker-Annual-Report.pdf
https://annualreport.stocklight.com/nasdaq/brkr/23688325.pdf
Values should be checked against the cited filing before publication, particularly where 2025 data or proxy categories are involved.</t>
      </text>
    </comment>
    <comment ref="G12" authorId="0" shapeId="0">
      <text>
        <t>Source(s) used in the earlier compilation:
https://s22.q4cdn.com/617463959/files/doc_financials/2025/ar/2025-Bruker-Annual-Report.pdf
https://annualreport.stocklight.com/nasdaq/brkr/23688325.pdf
Values should be checked against the cited filing before publication, particularly where 2025 data or proxy categories are involved.</t>
      </text>
    </comment>
    <comment ref="E13" authorId="0" shapeId="0">
      <text>
        <t>Source(s) used in the earlier compilation:
https://www.sec.gov/Archives/edgar/data/1110803/000111080326000024/ilmn-20251228.htm
https://www.sec.gov/Archives/edgar/data/1110803/000119312524087278/d534823dars.pdf
Values should be checked against the cited filing before publication, particularly where 2025 data or proxy categories are involved.</t>
      </text>
    </comment>
    <comment ref="F13" authorId="0" shapeId="0">
      <text>
        <t>Source(s) used in the earlier compilation:
https://www.sec.gov/Archives/edgar/data/1110803/000111080326000024/ilmn-20251228.htm
https://www.sec.gov/Archives/edgar/data/1110803/000119312524087278/d534823dars.pdf
Values should be checked against the cited filing before publication, particularly where 2025 data or proxy categories are involved.</t>
      </text>
    </comment>
    <comment ref="G13" authorId="0" shapeId="0">
      <text>
        <t>Source(s) used in the earlier compilation:
https://www.sec.gov/Archives/edgar/data/1110803/000111080326000024/ilmn-20251228.htm
https://www.sec.gov/Archives/edgar/data/1110803/000119312524087278/d534823dars.pdf
Values should be checked against the cited filing before publication, particularly where 2025 data or proxy categories are involved.</t>
      </text>
    </comment>
    <comment ref="E14" authorId="0" shapeId="0">
      <text>
        <t>Source(s) used in the earlier compilation:
https://www.sec.gov/Archives/edgar/data/1110803/000111080326000024/ilmn-20251228.htm
https://www.sec.gov/Archives/edgar/data/1110803/000119312524087278/d534823dars.pdf
Values should be checked against the cited filing before publication, particularly where 2025 data or proxy categories are involved.</t>
      </text>
    </comment>
    <comment ref="F14" authorId="0" shapeId="0">
      <text>
        <t>Source(s) used in the earlier compilation:
https://www.sec.gov/Archives/edgar/data/1110803/000111080326000024/ilmn-20251228.htm
https://www.sec.gov/Archives/edgar/data/1110803/000119312524087278/d534823dars.pdf
Values should be checked against the cited filing before publication, particularly where 2025 data or proxy categories are involved.</t>
      </text>
    </comment>
    <comment ref="G14" authorId="0" shapeId="0">
      <text>
        <t>Source(s) used in the earlier compilation:
https://www.sec.gov/Archives/edgar/data/1110803/000111080326000024/ilmn-20251228.htm
https://www.sec.gov/Archives/edgar/data/1110803/000119312524087278/d534823dars.pdf
Values should be checked against the cited filing before publication, particularly where 2025 data or proxy categories are involved.</t>
      </text>
    </comment>
    <comment ref="E15" authorId="0" shapeId="0">
      <text>
        <t>Source(s) used in the earlier compilation:
https://www.sec.gov/Archives/edgar/data/1110803/000111080326000024/ilmn-20251228.htm
https://www.sec.gov/Archives/edgar/data/1110803/000119312524087278/d534823dars.pdf
Values should be checked against the cited filing before publication, particularly where 2025 data or proxy categories are involved.</t>
      </text>
    </comment>
    <comment ref="F15" authorId="0" shapeId="0">
      <text>
        <t>Source(s) used in the earlier compilation:
https://www.sec.gov/Archives/edgar/data/1110803/000111080326000024/ilmn-20251228.htm
https://www.sec.gov/Archives/edgar/data/1110803/000119312524087278/d534823dars.pdf
Values should be checked against the cited filing before publication, particularly where 2025 data or proxy categories are involved.</t>
      </text>
    </comment>
    <comment ref="G15" authorId="0" shapeId="0">
      <text>
        <t>Source(s) used in the earlier compilation:
https://www.sec.gov/Archives/edgar/data/1110803/000111080326000024/ilmn-20251228.htm
https://www.sec.gov/Archives/edgar/data/1110803/000119312524087278/d534823dars.pdf
Values should be checked against the cited filing before publication, particularly where 2025 data or proxy categories are involved.</t>
      </text>
    </comment>
    <comment ref="E16" authorId="0" shapeId="0">
      <text>
        <t>Source(s) used in the earlier compilation:
https://www.sec.gov/Archives/edgar/data/1110803/000111080326000024/ilmn-20251228.htm
https://www.sec.gov/Archives/edgar/data/1110803/000119312524087278/d534823dars.pdf
Values should be checked against the cited filing before publication, particularly where 2025 data or proxy categories are involved.</t>
      </text>
    </comment>
    <comment ref="F16" authorId="0" shapeId="0">
      <text>
        <t>Source(s) used in the earlier compilation:
https://www.sec.gov/Archives/edgar/data/1110803/000111080326000024/ilmn-20251228.htm
https://www.sec.gov/Archives/edgar/data/1110803/000119312524087278/d534823dars.pdf
Values should be checked against the cited filing before publication, particularly where 2025 data or proxy categories are involved.</t>
      </text>
    </comment>
    <comment ref="G16" authorId="0" shapeId="0">
      <text>
        <t>Source(s) used in the earlier compilation:
https://www.sec.gov/Archives/edgar/data/1110803/000111080326000024/ilmn-20251228.htm
https://www.sec.gov/Archives/edgar/data/1110803/000119312524087278/d534823dars.pdf
Values should be checked against the cited filing before publication, particularly where 2025 data or proxy categories are involved.</t>
      </text>
    </comment>
    <comment ref="E17" authorId="0" shapeId="0">
      <text>
        <t>Source(s) used in the earlier compilation:
https://d18rn0p25nwr6d.cloudfront.net/CIK-0001037646/074ad430-471b-498e-a0f5-1f794b20eeee.pdf
Values should be checked against the cited filing before publication, particularly where 2025 data or proxy categories are involved.</t>
      </text>
    </comment>
    <comment ref="F17" authorId="0" shapeId="0">
      <text>
        <t>Source(s) used in the earlier compilation:
https://d18rn0p25nwr6d.cloudfront.net/CIK-0001037646/074ad430-471b-498e-a0f5-1f794b20eeee.pdf
Values should be checked against the cited filing before publication, particularly where 2025 data or proxy categories are involved.</t>
      </text>
    </comment>
    <comment ref="G17" authorId="0" shapeId="0">
      <text>
        <t>Source(s) used in the earlier compilation:
https://d18rn0p25nwr6d.cloudfront.net/CIK-0001037646/074ad430-471b-498e-a0f5-1f794b20eeee.pdf
Values should be checked against the cited filing before publication, particularly where 2025 data or proxy categories are involved.</t>
      </text>
    </comment>
    <comment ref="E18" authorId="0" shapeId="0">
      <text>
        <t>Source(s) used in the earlier compilation:
https://d18rn0p25nwr6d.cloudfront.net/CIK-0001037646/074ad430-471b-498e-a0f5-1f794b20eeee.pdf
Values should be checked against the cited filing before publication, particularly where 2025 data or proxy categories are involved.</t>
      </text>
    </comment>
    <comment ref="F18" authorId="0" shapeId="0">
      <text>
        <t>Source(s) used in the earlier compilation:
https://d18rn0p25nwr6d.cloudfront.net/CIK-0001037646/074ad430-471b-498e-a0f5-1f794b20eeee.pdf
Values should be checked against the cited filing before publication, particularly where 2025 data or proxy categories are involved.</t>
      </text>
    </comment>
    <comment ref="G18" authorId="0" shapeId="0">
      <text>
        <t>Source(s) used in the earlier compilation:
https://d18rn0p25nwr6d.cloudfront.net/CIK-0001037646/074ad430-471b-498e-a0f5-1f794b20eeee.pdf
Values should be checked against the cited filing before publication, particularly where 2025 data or proxy categories are involved.</t>
      </text>
    </comment>
    <comment ref="E19" authorId="0" shapeId="0">
      <text>
        <t>Source(s) used in the earlier compilation:
https://d18rn0p25nwr6d.cloudfront.net/CIK-0001037646/074ad430-471b-498e-a0f5-1f794b20eeee.pdf
Values should be checked against the cited filing before publication, particularly where 2025 data or proxy categories are involved.</t>
      </text>
    </comment>
    <comment ref="F19" authorId="0" shapeId="0">
      <text>
        <t>Source(s) used in the earlier compilation:
https://d18rn0p25nwr6d.cloudfront.net/CIK-0001037646/074ad430-471b-498e-a0f5-1f794b20eeee.pdf
Values should be checked against the cited filing before publication, particularly where 2025 data or proxy categories are involved.</t>
      </text>
    </comment>
    <comment ref="G19" authorId="0" shapeId="0">
      <text>
        <t>Source(s) used in the earlier compilation:
https://d18rn0p25nwr6d.cloudfront.net/CIK-0001037646/074ad430-471b-498e-a0f5-1f794b20eeee.pdf
Values should be checked against the cited filing before publication, particularly where 2025 data or proxy categories are involved.</t>
      </text>
    </comment>
    <comment ref="E20" authorId="0" shapeId="0">
      <text>
        <t>Source(s) used in the earlier compilation:
https://d18rn0p25nwr6d.cloudfront.net/CIK-0001037646/074ad430-471b-498e-a0f5-1f794b20eeee.pdf
Values should be checked against the cited filing before publication, particularly where 2025 data or proxy categories are involved.</t>
      </text>
    </comment>
    <comment ref="F20" authorId="0" shapeId="0">
      <text>
        <t>Source(s) used in the earlier compilation:
https://d18rn0p25nwr6d.cloudfront.net/CIK-0001037646/074ad430-471b-498e-a0f5-1f794b20eeee.pdf
Values should be checked against the cited filing before publication, particularly where 2025 data or proxy categories are involved.</t>
      </text>
    </comment>
    <comment ref="G20" authorId="0" shapeId="0">
      <text>
        <t>Source(s) used in the earlier compilation:
https://d18rn0p25nwr6d.cloudfront.net/CIK-0001037646/074ad430-471b-498e-a0f5-1f794b20eeee.pdf
Values should be checked against the cited filing before publication, particularly where 2025 data or proxy categories are involved.</t>
      </text>
    </comment>
    <comment ref="E21" authorId="0" shapeId="0">
      <text>
        <t>Source(s) used in the earlier compilation:
https://www.sec.gov/Archives/edgar/data/1299130/000129913024000054/pacb-20231231.htm
Values should be checked against the cited filing before publication, particularly where 2025 data or proxy categories are involved.</t>
      </text>
    </comment>
    <comment ref="F21" authorId="0" shapeId="0">
      <text>
        <t>Source(s) used in the earlier compilation:
https://www.sec.gov/Archives/edgar/data/1299130/000129913024000054/pacb-20231231.htm
Values should be checked against the cited filing before publication, particularly where 2025 data or proxy categories are involved.</t>
      </text>
    </comment>
    <comment ref="G21" authorId="0" shapeId="0">
      <text>
        <t>Source(s) used in the earlier compilation:
https://www.sec.gov/Archives/edgar/data/1299130/000129913024000054/pacb-20231231.htm
Values should be checked against the cited filing before publication, particularly where 2025 data or proxy categories are involved.</t>
      </text>
    </comment>
    <comment ref="E22" authorId="0" shapeId="0">
      <text>
        <t>Source(s) used in the earlier compilation:
https://www.sec.gov/Archives/edgar/data/1299130/000129913024000054/pacb-20231231.htm
Values should be checked against the cited filing before publication, particularly where 2025 data or proxy categories are involved.</t>
      </text>
    </comment>
    <comment ref="F22" authorId="0" shapeId="0">
      <text>
        <t>Source(s) used in the earlier compilation:
https://www.sec.gov/Archives/edgar/data/1299130/000129913024000054/pacb-20231231.htm
Values should be checked against the cited filing before publication, particularly where 2025 data or proxy categories are involved.</t>
      </text>
    </comment>
    <comment ref="G22" authorId="0" shapeId="0">
      <text>
        <t>Source(s) used in the earlier compilation:
https://www.sec.gov/Archives/edgar/data/1299130/000129913024000054/pacb-20231231.htm
Values should be checked against the cited filing before publication, particularly where 2025 data or proxy categories are involved.</t>
      </text>
    </comment>
    <comment ref="E23" authorId="0" shapeId="0">
      <text>
        <t>Source(s) used in the earlier compilation:
https://www.sec.gov/Archives/edgar/data/1299130/000129913024000054/pacb-20231231.htm
Values should be checked against the cited filing before publication, particularly where 2025 data or proxy categories are involved.</t>
      </text>
    </comment>
    <comment ref="F23" authorId="0" shapeId="0">
      <text>
        <t>Source(s) used in the earlier compilation:
https://www.sec.gov/Archives/edgar/data/1299130/000129913024000054/pacb-20231231.htm
Values should be checked against the cited filing before publication, particularly where 2025 data or proxy categories are involved.</t>
      </text>
    </comment>
    <comment ref="G23" authorId="0" shapeId="0">
      <text>
        <t>Source(s) used in the earlier compilation:
https://www.sec.gov/Archives/edgar/data/1299130/000129913024000054/pacb-20231231.htm
Values should be checked against the cited filing before publication, particularly where 2025 data or proxy categories are involved.</t>
      </text>
    </comment>
    <comment ref="E24" authorId="0" shapeId="0">
      <text>
        <t>Source(s) used in the earlier compilation:
https://www.sec.gov/Archives/edgar/data/1299130/000129913024000054/pacb-20231231.htm
Values should be checked against the cited filing before publication, particularly where 2025 data or proxy categories are involved.</t>
      </text>
    </comment>
    <comment ref="F24" authorId="0" shapeId="0">
      <text>
        <t>Source(s) used in the earlier compilation:
https://www.sec.gov/Archives/edgar/data/1299130/000129913024000054/pacb-20231231.htm
Values should be checked against the cited filing before publication, particularly where 2025 data or proxy categories are involved.</t>
      </text>
    </comment>
    <comment ref="G24" authorId="0" shapeId="0">
      <text>
        <t>Source(s) used in the earlier compilation:
https://www.sec.gov/Archives/edgar/data/1299130/000129913024000054/pacb-20231231.htm
Values should be checked against the cited filing before publication, particularly where 2025 data or proxy categories are involved.</t>
      </text>
    </comment>
    <comment ref="E25" authorId="0" shapeId="0">
      <text>
        <t>Source(s) used in the earlier compilation:
https://www.sec.gov/Archives/edgar/data/31791/000003179125000009/revv-20241229.htm
Values should be checked against the cited filing before publication, particularly where 2025 data or proxy categories are involved.</t>
      </text>
    </comment>
    <comment ref="F25" authorId="0" shapeId="0">
      <text>
        <t>Source(s) used in the earlier compilation:
https://www.sec.gov/Archives/edgar/data/31791/000003179125000009/revv-20241229.htm
Values should be checked against the cited filing before publication, particularly where 2025 data or proxy categories are involved.</t>
      </text>
    </comment>
    <comment ref="G25" authorId="0" shapeId="0">
      <text>
        <t>Source(s) used in the earlier compilation:
https://www.sec.gov/Archives/edgar/data/31791/000003179125000009/revv-20241229.htm
Values should be checked against the cited filing before publication, particularly where 2025 data or proxy categories are involved.</t>
      </text>
    </comment>
    <comment ref="E26" authorId="0" shapeId="0">
      <text>
        <t>Source(s) used in the earlier compilation:
https://www.sec.gov/Archives/edgar/data/31791/000003179125000009/revv-20241229.htm
Values should be checked against the cited filing before publication, particularly where 2025 data or proxy categories are involved.</t>
      </text>
    </comment>
    <comment ref="F26" authorId="0" shapeId="0">
      <text>
        <t>Source(s) used in the earlier compilation:
https://www.sec.gov/Archives/edgar/data/31791/000003179125000009/revv-20241229.htm
Values should be checked against the cited filing before publication, particularly where 2025 data or proxy categories are involved.</t>
      </text>
    </comment>
    <comment ref="G26" authorId="0" shapeId="0">
      <text>
        <t>Source(s) used in the earlier compilation:
https://www.sec.gov/Archives/edgar/data/31791/000003179125000009/revv-20241229.htm
Values should be checked against the cited filing before publication, particularly where 2025 data or proxy categories are involved.</t>
      </text>
    </comment>
    <comment ref="E27" authorId="0" shapeId="0">
      <text>
        <t>Source(s) used in the earlier compilation:
https://www.sec.gov/Archives/edgar/data/31791/000003179125000009/revv-20241229.htm
Values should be checked against the cited filing before publication, particularly where 2025 data or proxy categories are involved.</t>
      </text>
    </comment>
    <comment ref="F27" authorId="0" shapeId="0">
      <text>
        <t>Source(s) used in the earlier compilation:
https://www.sec.gov/Archives/edgar/data/31791/000003179125000009/revv-20241229.htm
Values should be checked against the cited filing before publication, particularly where 2025 data or proxy categories are involved.</t>
      </text>
    </comment>
    <comment ref="G27" authorId="0" shapeId="0">
      <text>
        <t>Source(s) used in the earlier compilation:
https://www.sec.gov/Archives/edgar/data/31791/000003179125000009/revv-20241229.htm
Values should be checked against the cited filing before publication, particularly where 2025 data or proxy categories are involved.</t>
      </text>
    </comment>
    <comment ref="E28" authorId="0" shapeId="0">
      <text>
        <t>Source(s) used in the earlier compilation:
https://www.sec.gov/Archives/edgar/data/31791/000003179125000009/revv-20241229.htm
Values should be checked against the cited filing before publication, particularly where 2025 data or proxy categories are involved.</t>
      </text>
    </comment>
    <comment ref="F28" authorId="0" shapeId="0">
      <text>
        <t>Source(s) used in the earlier compilation:
https://www.sec.gov/Archives/edgar/data/31791/000003179125000009/revv-20241229.htm
Values should be checked against the cited filing before publication, particularly where 2025 data or proxy categories are involved.</t>
      </text>
    </comment>
    <comment ref="G28" authorId="0" shapeId="0">
      <text>
        <t>Source(s) used in the earlier compilation:
https://www.sec.gov/Archives/edgar/data/31791/000003179125000009/revv-20241229.htm
Values should be checked against the cited filing before publication, particularly where 2025 data or proxy categories are involved.</t>
      </text>
    </comment>
    <comment ref="E29" authorId="0" shapeId="0">
      <text>
        <t>Source(s) used in the earlier compilation:
https://www.sec.gov/Archives/edgar/data/842023/000155837025011716/tech-20250630x10k.htm
Values should be checked against the cited filing before publication, particularly where 2025 data or proxy categories are involved.</t>
      </text>
    </comment>
    <comment ref="F29" authorId="0" shapeId="0">
      <text>
        <t>Source(s) used in the earlier compilation:
https://www.sec.gov/Archives/edgar/data/842023/000155837025011716/tech-20250630x10k.htm
Values should be checked against the cited filing before publication, particularly where 2025 data or proxy categories are involved.</t>
      </text>
    </comment>
    <comment ref="G29" authorId="0" shapeId="0">
      <text>
        <t>Source(s) used in the earlier compilation:
https://www.sec.gov/Archives/edgar/data/842023/000155837025011716/tech-20250630x10k.htm
Values should be checked against the cited filing before publication, particularly where 2025 data or proxy categories are involved.</t>
      </text>
    </comment>
    <comment ref="E30" authorId="0" shapeId="0">
      <text>
        <t>Source(s) used in the earlier compilation:
https://www.sec.gov/Archives/edgar/data/842023/000155837025011716/tech-20250630x10k.htm
Values should be checked against the cited filing before publication, particularly where 2025 data or proxy categories are involved.</t>
      </text>
    </comment>
    <comment ref="F30" authorId="0" shapeId="0">
      <text>
        <t>Source(s) used in the earlier compilation:
https://www.sec.gov/Archives/edgar/data/842023/000155837025011716/tech-20250630x10k.htm
Values should be checked against the cited filing before publication, particularly where 2025 data or proxy categories are involved.</t>
      </text>
    </comment>
    <comment ref="G30" authorId="0" shapeId="0">
      <text>
        <t>Source(s) used in the earlier compilation:
https://www.sec.gov/Archives/edgar/data/842023/000155837025011716/tech-20250630x10k.htm
Values should be checked against the cited filing before publication, particularly where 2025 data or proxy categories are involved.</t>
      </text>
    </comment>
    <comment ref="E31" authorId="0" shapeId="0">
      <text>
        <t>Source(s) used in the earlier compilation:
https://www.sec.gov/Archives/edgar/data/842023/000155837025011716/tech-20250630x10k.htm
Values should be checked against the cited filing before publication, particularly where 2025 data or proxy categories are involved.</t>
      </text>
    </comment>
    <comment ref="F31" authorId="0" shapeId="0">
      <text>
        <t>Source(s) used in the earlier compilation:
https://www.sec.gov/Archives/edgar/data/842023/000155837025011716/tech-20250630x10k.htm
Values should be checked against the cited filing before publication, particularly where 2025 data or proxy categories are involved.</t>
      </text>
    </comment>
    <comment ref="G31" authorId="0" shapeId="0">
      <text>
        <t>Source(s) used in the earlier compilation:
https://www.sec.gov/Archives/edgar/data/842023/000155837025011716/tech-20250630x10k.htm
Values should be checked against the cited filing before publication, particularly where 2025 data or proxy categories are involved.</t>
      </text>
    </comment>
    <comment ref="E32" authorId="0" shapeId="0">
      <text>
        <t>Source(s) used in the earlier compilation:
https://www.sec.gov/Archives/edgar/data/842023/000155837025011716/tech-20250630x10k.htm
Values should be checked against the cited filing before publication, particularly where 2025 data or proxy categories are involved.</t>
      </text>
    </comment>
    <comment ref="F32" authorId="0" shapeId="0">
      <text>
        <t>Source(s) used in the earlier compilation:
https://www.sec.gov/Archives/edgar/data/842023/000155837025011716/tech-20250630x10k.htm
Values should be checked against the cited filing before publication, particularly where 2025 data or proxy categories are involved.</t>
      </text>
    </comment>
    <comment ref="G32" authorId="0" shapeId="0">
      <text>
        <t>Source(s) used in the earlier compilation:
https://www.sec.gov/Archives/edgar/data/842023/000155837025011716/tech-20250630x10k.htm
Values should be checked against the cited filing before publication, particularly where 2025 data or proxy categories are involved.</t>
      </text>
    </comment>
    <comment ref="E33" authorId="0" shapeId="0">
      <text>
        <t>Source:
https://www.sec.gov/Archives/edgar/data/97745/000009774526000018/tmo-20251231.htm
Reported product and service figures are rounded to whole millions.</t>
      </text>
    </comment>
    <comment ref="F33" authorId="0" shapeId="0">
      <text>
        <t>Source:
https://www.sec.gov/Archives/edgar/data/97745/000009774526000018/tmo-20251231.htm
Reported product and service figures are rounded to whole millions.</t>
      </text>
    </comment>
    <comment ref="G33" authorId="0" shapeId="0">
      <text>
        <t>Source:
https://www.sec.gov/Archives/edgar/data/97745/000009774526000018/tmo-20251231.htm
Reported product and service figures are rounded to whole millions.</t>
      </text>
    </comment>
    <comment ref="E34" authorId="0" shapeId="0">
      <text>
        <t>Source:
https://www.sec.gov/Archives/edgar/data/97745/000009774526000018/tmo-20251231.htm
Reported product and service figures are rounded to whole millions.</t>
      </text>
    </comment>
    <comment ref="F34" authorId="0" shapeId="0">
      <text>
        <t>Source:
https://www.sec.gov/Archives/edgar/data/97745/000009774526000018/tmo-20251231.htm
Reported product and service figures are rounded to whole millions.</t>
      </text>
    </comment>
    <comment ref="G34" authorId="0" shapeId="0">
      <text>
        <t>Source:
https://www.sec.gov/Archives/edgar/data/97745/000009774526000018/tmo-20251231.htm
Reported product and service figures are rounded to whole millions.</t>
      </text>
    </comment>
    <comment ref="E35" authorId="0" shapeId="0">
      <text>
        <t>Source:
https://www.sec.gov/Archives/edgar/data/97745/000009774526000018/tmo-20251231.htm
Reported product and service figures are rounded to whole millions.</t>
      </text>
    </comment>
    <comment ref="F35" authorId="0" shapeId="0">
      <text>
        <t>Source:
https://www.sec.gov/Archives/edgar/data/97745/000009774526000018/tmo-20251231.htm
Reported product and service figures are rounded to whole millions.</t>
      </text>
    </comment>
    <comment ref="G35" authorId="0" shapeId="0">
      <text>
        <t>Source:
https://www.sec.gov/Archives/edgar/data/97745/000009774526000018/tmo-20251231.htm
Reported product and service figures are rounded to whole millions.</t>
      </text>
    </comment>
    <comment ref="E36" authorId="0" shapeId="0">
      <text>
        <t>Source:
https://www.sec.gov/Archives/edgar/data/97745/000009774526000018/tmo-20251231.htm
Reported product and service figures are rounded to whole millions.</t>
      </text>
    </comment>
    <comment ref="F36" authorId="0" shapeId="0">
      <text>
        <t>Source:
https://www.sec.gov/Archives/edgar/data/97745/000009774526000018/tmo-20251231.htm
Reported product and service figures are rounded to whole millions.</t>
      </text>
    </comment>
    <comment ref="G36" authorId="0" shapeId="0">
      <text>
        <t>Source:
https://www.sec.gov/Archives/edgar/data/97745/000009774526000018/tmo-20251231.htm
Reported product and service figures are rounded to whole millions.</t>
      </text>
    </comment>
    <comment ref="E37" authorId="0" shapeId="0">
      <text>
        <t>Source(s) used in the earlier compilation:
https://www.sec.gov/Archives/edgar/data/1000697/000119312525034579/d791800d10k.htm
Values should be checked against the cited filing before publication, particularly where 2025 data or proxy categories are involved.</t>
      </text>
    </comment>
    <comment ref="F37" authorId="0" shapeId="0">
      <text>
        <t>Source(s) used in the earlier compilation:
https://www.sec.gov/Archives/edgar/data/1000697/000119312525034579/d791800d10k.htm
Values should be checked against the cited filing before publication, particularly where 2025 data or proxy categories are involved.</t>
      </text>
    </comment>
    <comment ref="G37" authorId="0" shapeId="0">
      <text>
        <t>Source(s) used in the earlier compilation:
https://www.sec.gov/Archives/edgar/data/1000697/000119312525034579/d791800d10k.htm
Values should be checked against the cited filing before publication, particularly where 2025 data or proxy categories are involved.</t>
      </text>
    </comment>
    <comment ref="E38" authorId="0" shapeId="0">
      <text>
        <t>Source(s) used in the earlier compilation:
https://www.sec.gov/Archives/edgar/data/1000697/000119312525034579/d791800d10k.htm
Values should be checked against the cited filing before publication, particularly where 2025 data or proxy categories are involved.</t>
      </text>
    </comment>
    <comment ref="F38" authorId="0" shapeId="0">
      <text>
        <t>Source(s) used in the earlier compilation:
https://www.sec.gov/Archives/edgar/data/1000697/000119312525034579/d791800d10k.htm
Values should be checked against the cited filing before publication, particularly where 2025 data or proxy categories are involved.</t>
      </text>
    </comment>
    <comment ref="G38" authorId="0" shapeId="0">
      <text>
        <t>Source(s) used in the earlier compilation:
https://www.sec.gov/Archives/edgar/data/1000697/000119312525034579/d791800d10k.htm
Values should be checked against the cited filing before publication, particularly where 2025 data or proxy categories are involved.</t>
      </text>
    </comment>
    <comment ref="E39" authorId="0" shapeId="0">
      <text>
        <t>Source(s) used in the earlier compilation:
https://www.sec.gov/Archives/edgar/data/1000697/000119312525034579/d791800d10k.htm
Values should be checked against the cited filing before publication, particularly where 2025 data or proxy categories are involved.</t>
      </text>
    </comment>
    <comment ref="F39" authorId="0" shapeId="0">
      <text>
        <t>Source(s) used in the earlier compilation:
https://www.sec.gov/Archives/edgar/data/1000697/000119312525034579/d791800d10k.htm
Values should be checked against the cited filing before publication, particularly where 2025 data or proxy categories are involved.</t>
      </text>
    </comment>
    <comment ref="G39" authorId="0" shapeId="0">
      <text>
        <t>Source(s) used in the earlier compilation:
https://www.sec.gov/Archives/edgar/data/1000697/000119312525034579/d791800d10k.htm
Values should be checked against the cited filing before publication, particularly where 2025 data or proxy categories are involved.</t>
      </text>
    </comment>
    <comment ref="E40" authorId="0" shapeId="0">
      <text>
        <t>Source(s) used in the earlier compilation:
https://www.sec.gov/Archives/edgar/data/1000697/000119312525034579/d791800d10k.htm
Values should be checked against the cited filing before publication, particularly where 2025 data or proxy categories are involved.</t>
      </text>
    </comment>
    <comment ref="F40" authorId="0" shapeId="0">
      <text>
        <t>Source(s) used in the earlier compilation:
https://www.sec.gov/Archives/edgar/data/1000697/000119312525034579/d791800d10k.htm
Values should be checked against the cited filing before publication, particularly where 2025 data or proxy categories are involved.</t>
      </text>
    </comment>
    <comment ref="G40" authorId="0" shapeId="0">
      <text>
        <t>Source(s) used in the earlier compilation:
https://www.sec.gov/Archives/edgar/data/1000697/000119312525034579/d791800d10k.htm
Values should be checked against the cited filing before publication, particularly where 2025 data or proxy categories are involved.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F5" authorId="0" shapeId="0">
      <text>
        <t>Source(s) used in the earlier compilation:
https://www.sec.gov/Archives/edgar/data/12208/000001220826000010/bio-20251231.htm
https://www.sec.gov/Archives/edgar/data/12208/000001220825000007/bio-20241231.htm
Values should be checked against the cited filing before publication, particularly where 2025 data or proxy categories are involved.</t>
      </text>
    </comment>
    <comment ref="H5" authorId="0" shapeId="0">
      <text>
        <t>Source(s) used in the earlier compilation:
https://www.sec.gov/Archives/edgar/data/12208/000001220826000010/bio-20251231.htm
https://www.sec.gov/Archives/edgar/data/12208/000001220825000007/bio-20241231.htm
Values should be checked against the cited filing before publication, particularly where 2025 data or proxy categories are involved.</t>
      </text>
    </comment>
    <comment ref="J5" authorId="0" shapeId="0">
      <text>
        <t>Source(s) used in the earlier compilation:
https://www.sec.gov/Archives/edgar/data/12208/000001220826000010/bio-20251231.htm
https://www.sec.gov/Archives/edgar/data/12208/000001220825000007/bio-20241231.htm
Values should be checked against the cited filing before publication, particularly where 2025 data or proxy categories are involved.</t>
      </text>
    </comment>
    <comment ref="F6" authorId="0" shapeId="0">
      <text>
        <t>Source(s) used in the earlier compilation:
https://www.sec.gov/Archives/edgar/data/12208/000001220826000010/bio-20251231.htm
https://www.sec.gov/Archives/edgar/data/12208/000001220825000007/bio-20241231.htm
Values should be checked against the cited filing before publication, particularly where 2025 data or proxy categories are involved.</t>
      </text>
    </comment>
    <comment ref="H6" authorId="0" shapeId="0">
      <text>
        <t>Source(s) used in the earlier compilation:
https://www.sec.gov/Archives/edgar/data/12208/000001220826000010/bio-20251231.htm
https://www.sec.gov/Archives/edgar/data/12208/000001220825000007/bio-20241231.htm
Values should be checked against the cited filing before publication, particularly where 2025 data or proxy categories are involved.</t>
      </text>
    </comment>
    <comment ref="J6" authorId="0" shapeId="0">
      <text>
        <t>Source(s) used in the earlier compilation:
https://www.sec.gov/Archives/edgar/data/12208/000001220826000010/bio-20251231.htm
https://www.sec.gov/Archives/edgar/data/12208/000001220825000007/bio-20241231.htm
Values should be checked against the cited filing before publication, particularly where 2025 data or proxy categories are involved.</t>
      </text>
    </comment>
    <comment ref="F7" authorId="0" shapeId="0">
      <text>
        <t>Source(s) used in the earlier compilation:
https://www.sec.gov/Archives/edgar/data/12208/000001220826000010/bio-20251231.htm
https://www.sec.gov/Archives/edgar/data/12208/000001220825000007/bio-20241231.htm
Values should be checked against the cited filing before publication, particularly where 2025 data or proxy categories are involved.</t>
      </text>
    </comment>
    <comment ref="H7" authorId="0" shapeId="0">
      <text>
        <t>Source(s) used in the earlier compilation:
https://www.sec.gov/Archives/edgar/data/12208/000001220826000010/bio-20251231.htm
https://www.sec.gov/Archives/edgar/data/12208/000001220825000007/bio-20241231.htm
Values should be checked against the cited filing before publication, particularly where 2025 data or proxy categories are involved.</t>
      </text>
    </comment>
    <comment ref="J7" authorId="0" shapeId="0">
      <text>
        <t>Source(s) used in the earlier compilation:
https://www.sec.gov/Archives/edgar/data/12208/000001220826000010/bio-20251231.htm
https://www.sec.gov/Archives/edgar/data/12208/000001220825000007/bio-20241231.htm
Values should be checked against the cited filing before publication, particularly where 2025 data or proxy categories are involved.</t>
      </text>
    </comment>
    <comment ref="F8" authorId="0" shapeId="0">
      <text>
        <t>Source(s) used in the earlier compilation:
https://www.sec.gov/Archives/edgar/data/12208/000001220826000010/bio-20251231.htm
https://www.sec.gov/Archives/edgar/data/12208/000001220825000007/bio-20241231.htm
Values should be checked against the cited filing before publication, particularly where 2025 data or proxy categories are involved.</t>
      </text>
    </comment>
    <comment ref="H8" authorId="0" shapeId="0">
      <text>
        <t>Source(s) used in the earlier compilation:
https://www.sec.gov/Archives/edgar/data/12208/000001220826000010/bio-20251231.htm
https://www.sec.gov/Archives/edgar/data/12208/000001220825000007/bio-20241231.htm
Values should be checked against the cited filing before publication, particularly where 2025 data or proxy categories are involved.</t>
      </text>
    </comment>
    <comment ref="J8" authorId="0" shapeId="0">
      <text>
        <t>Source(s) used in the earlier compilation:
https://www.sec.gov/Archives/edgar/data/12208/000001220826000010/bio-20251231.htm
https://www.sec.gov/Archives/edgar/data/12208/000001220825000007/bio-20241231.htm
Values should be checked against the cited filing before publication, particularly where 2025 data or proxy categories are involved.</t>
      </text>
    </comment>
    <comment ref="F9" authorId="0" shapeId="0">
      <text>
        <t>Source(s) used in the earlier compilation:
https://filecache.investorroom.com/mr5ir_danaher/974/Danaher%202025%20Annual%20Report.pdf
https://www.sec.gov/Archives/edgar/data/313616/000031361624000052/dhr-20231231.htm
Values should be checked against the cited filing before publication, particularly where 2025 data or proxy categories are involved.</t>
      </text>
    </comment>
    <comment ref="H9" authorId="0" shapeId="0">
      <text>
        <t>Source(s) used in the earlier compilation:
https://filecache.investorroom.com/mr5ir_danaher/974/Danaher%202025%20Annual%20Report.pdf
https://www.sec.gov/Archives/edgar/data/313616/000031361624000052/dhr-20231231.htm
Values should be checked against the cited filing before publication, particularly where 2025 data or proxy categories are involved.</t>
      </text>
    </comment>
    <comment ref="J9" authorId="0" shapeId="0">
      <text>
        <t>Source(s) used in the earlier compilation:
https://filecache.investorroom.com/mr5ir_danaher/974/Danaher%202025%20Annual%20Report.pdf
https://www.sec.gov/Archives/edgar/data/313616/000031361624000052/dhr-20231231.htm
Values should be checked against the cited filing before publication, particularly where 2025 data or proxy categories are involved.</t>
      </text>
    </comment>
    <comment ref="F10" authorId="0" shapeId="0">
      <text>
        <t>Source(s) used in the earlier compilation:
https://filecache.investorroom.com/mr5ir_danaher/974/Danaher%202025%20Annual%20Report.pdf
https://www.sec.gov/Archives/edgar/data/313616/000031361624000052/dhr-20231231.htm
Values should be checked against the cited filing before publication, particularly where 2025 data or proxy categories are involved.</t>
      </text>
    </comment>
    <comment ref="H10" authorId="0" shapeId="0">
      <text>
        <t>Source(s) used in the earlier compilation:
https://filecache.investorroom.com/mr5ir_danaher/974/Danaher%202025%20Annual%20Report.pdf
https://www.sec.gov/Archives/edgar/data/313616/000031361624000052/dhr-20231231.htm
Values should be checked against the cited filing before publication, particularly where 2025 data or proxy categories are involved.</t>
      </text>
    </comment>
    <comment ref="J10" authorId="0" shapeId="0">
      <text>
        <t>Source(s) used in the earlier compilation:
https://filecache.investorroom.com/mr5ir_danaher/974/Danaher%202025%20Annual%20Report.pdf
https://www.sec.gov/Archives/edgar/data/313616/000031361624000052/dhr-20231231.htm
Values should be checked against the cited filing before publication, particularly where 2025 data or proxy categories are involved.</t>
      </text>
    </comment>
    <comment ref="F11" authorId="0" shapeId="0">
      <text>
        <t>Source(s) used in the earlier compilation:
https://filecache.investorroom.com/mr5ir_danaher/974/Danaher%202025%20Annual%20Report.pdf
https://www.sec.gov/Archives/edgar/data/313616/000031361624000052/dhr-20231231.htm
Values should be checked against the cited filing before publication, particularly where 2025 data or proxy categories are involved.</t>
      </text>
    </comment>
    <comment ref="H11" authorId="0" shapeId="0">
      <text>
        <t>Source(s) used in the earlier compilation:
https://filecache.investorroom.com/mr5ir_danaher/974/Danaher%202025%20Annual%20Report.pdf
https://www.sec.gov/Archives/edgar/data/313616/000031361624000052/dhr-20231231.htm
Values should be checked against the cited filing before publication, particularly where 2025 data or proxy categories are involved.</t>
      </text>
    </comment>
    <comment ref="J11" authorId="0" shapeId="0">
      <text>
        <t>Source(s) used in the earlier compilation:
https://filecache.investorroom.com/mr5ir_danaher/974/Danaher%202025%20Annual%20Report.pdf
https://www.sec.gov/Archives/edgar/data/313616/000031361624000052/dhr-20231231.htm
Values should be checked against the cited filing before publication, particularly where 2025 data or proxy categories are involved.</t>
      </text>
    </comment>
    <comment ref="F12" authorId="0" shapeId="0">
      <text>
        <t>Source(s) used in the earlier compilation:
https://filecache.investorroom.com/mr5ir_danaher/974/Danaher%202025%20Annual%20Report.pdf
https://www.sec.gov/Archives/edgar/data/313616/000031361624000052/dhr-20231231.htm
Values should be checked against the cited filing before publication, particularly where 2025 data or proxy categories are involved.</t>
      </text>
    </comment>
    <comment ref="H12" authorId="0" shapeId="0">
      <text>
        <t>Source(s) used in the earlier compilation:
https://filecache.investorroom.com/mr5ir_danaher/974/Danaher%202025%20Annual%20Report.pdf
https://www.sec.gov/Archives/edgar/data/313616/000031361624000052/dhr-20231231.htm
Values should be checked against the cited filing before publication, particularly where 2025 data or proxy categories are involved.</t>
      </text>
    </comment>
    <comment ref="J12" authorId="0" shapeId="0">
      <text>
        <t>Source(s) used in the earlier compilation:
https://filecache.investorroom.com/mr5ir_danaher/974/Danaher%202025%20Annual%20Report.pdf
https://www.sec.gov/Archives/edgar/data/313616/000031361624000052/dhr-20231231.htm
Values should be checked against the cited filing before publication, particularly where 2025 data or proxy categories are involved.</t>
      </text>
    </comment>
    <comment ref="F13" authorId="0" shapeId="0">
      <text>
        <t>Source(s) used in the earlier compilation:
https://s28.q4cdn.com/125951340/files/doc_financials/2023/ar/Cover-2023-20-F-Final-w-exhibits.pdf
https://www.marketscreener.com/news/qiagen-n-2025-annual-report-2025-annual-financial-report-ce7f5bded889f322
Values should be checked against the cited filing before publication, particularly where 2025 data or proxy categories are involved.</t>
      </text>
    </comment>
    <comment ref="H13" authorId="0" shapeId="0">
      <text>
        <t>Source(s) used in the earlier compilation:
https://s28.q4cdn.com/125951340/files/doc_financials/2023/ar/Cover-2023-20-F-Final-w-exhibits.pdf
https://www.marketscreener.com/news/qiagen-n-2025-annual-report-2025-annual-financial-report-ce7f5bded889f322
Values should be checked against the cited filing before publication, particularly where 2025 data or proxy categories are involved.</t>
      </text>
    </comment>
    <comment ref="J13" authorId="0" shapeId="0">
      <text>
        <t>Source(s) used in the earlier compilation:
https://s28.q4cdn.com/125951340/files/doc_financials/2023/ar/Cover-2023-20-F-Final-w-exhibits.pdf
https://www.marketscreener.com/news/qiagen-n-2025-annual-report-2025-annual-financial-report-ce7f5bded889f322
Values should be checked against the cited filing before publication, particularly where 2025 data or proxy categories are involved.</t>
      </text>
    </comment>
    <comment ref="F14" authorId="0" shapeId="0">
      <text>
        <t>Source(s) used in the earlier compilation:
https://s28.q4cdn.com/125951340/files/doc_financials/2023/ar/Cover-2023-20-F-Final-w-exhibits.pdf
https://www.marketscreener.com/news/qiagen-n-2025-annual-report-2025-annual-financial-report-ce7f5bded889f322
Values should be checked against the cited filing before publication, particularly where 2025 data or proxy categories are involved.</t>
      </text>
    </comment>
    <comment ref="H14" authorId="0" shapeId="0">
      <text>
        <t>Source(s) used in the earlier compilation:
https://s28.q4cdn.com/125951340/files/doc_financials/2023/ar/Cover-2023-20-F-Final-w-exhibits.pdf
https://www.marketscreener.com/news/qiagen-n-2025-annual-report-2025-annual-financial-report-ce7f5bded889f322
Values should be checked against the cited filing before publication, particularly where 2025 data or proxy categories are involved.</t>
      </text>
    </comment>
    <comment ref="J14" authorId="0" shapeId="0">
      <text>
        <t>Source(s) used in the earlier compilation:
https://s28.q4cdn.com/125951340/files/doc_financials/2023/ar/Cover-2023-20-F-Final-w-exhibits.pdf
https://www.marketscreener.com/news/qiagen-n-2025-annual-report-2025-annual-financial-report-ce7f5bded889f322
Values should be checked against the cited filing before publication, particularly where 2025 data or proxy categories are involved.</t>
      </text>
    </comment>
    <comment ref="F15" authorId="0" shapeId="0">
      <text>
        <t>Source(s) used in the earlier compilation:
https://s28.q4cdn.com/125951340/files/doc_financials/2023/ar/Cover-2023-20-F-Final-w-exhibits.pdf
https://www.marketscreener.com/news/qiagen-n-2025-annual-report-2025-annual-financial-report-ce7f5bded889f322
Values should be checked against the cited filing before publication, particularly where 2025 data or proxy categories are involved.</t>
      </text>
    </comment>
    <comment ref="H15" authorId="0" shapeId="0">
      <text>
        <t>Source(s) used in the earlier compilation:
https://s28.q4cdn.com/125951340/files/doc_financials/2023/ar/Cover-2023-20-F-Final-w-exhibits.pdf
https://www.marketscreener.com/news/qiagen-n-2025-annual-report-2025-annual-financial-report-ce7f5bded889f322
Values should be checked against the cited filing before publication, particularly where 2025 data or proxy categories are involved.</t>
      </text>
    </comment>
    <comment ref="J15" authorId="0" shapeId="0">
      <text>
        <t>Source(s) used in the earlier compilation:
https://s28.q4cdn.com/125951340/files/doc_financials/2023/ar/Cover-2023-20-F-Final-w-exhibits.pdf
https://www.marketscreener.com/news/qiagen-n-2025-annual-report-2025-annual-financial-report-ce7f5bded889f322
Values should be checked against the cited filing before publication, particularly where 2025 data or proxy categories are involved.</t>
      </text>
    </comment>
    <comment ref="F16" authorId="0" shapeId="0">
      <text>
        <t>Source(s) used in the earlier compilation:
https://s28.q4cdn.com/125951340/files/doc_financials/2023/ar/Cover-2023-20-F-Final-w-exhibits.pdf
https://www.marketscreener.com/news/qiagen-n-2025-annual-report-2025-annual-financial-report-ce7f5bded889f322
Values should be checked against the cited filing before publication, particularly where 2025 data or proxy categories are involved.</t>
      </text>
    </comment>
    <comment ref="H16" authorId="0" shapeId="0">
      <text>
        <t>Source(s) used in the earlier compilation:
https://s28.q4cdn.com/125951340/files/doc_financials/2023/ar/Cover-2023-20-F-Final-w-exhibits.pdf
https://www.marketscreener.com/news/qiagen-n-2025-annual-report-2025-annual-financial-report-ce7f5bded889f322
Values should be checked against the cited filing before publication, particularly where 2025 data or proxy categories are involved.</t>
      </text>
    </comment>
    <comment ref="J16" authorId="0" shapeId="0">
      <text>
        <t>Source(s) used in the earlier compilation:
https://s28.q4cdn.com/125951340/files/doc_financials/2023/ar/Cover-2023-20-F-Final-w-exhibits.pdf
https://www.marketscreener.com/news/qiagen-n-2025-annual-report-2025-annual-financial-report-ce7f5bded889f322
Values should be checked against the cited filing before publication, particularly where 2025 data or proxy categories are involved.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3</row>
      <rowOff>0</rowOff>
    </from>
    <ext cx="450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venueTable" displayName="RevenueTable" ref="A4:J16" headerRowCount="1">
  <autoFilter ref="A4:J16"/>
  <tableColumns count="10">
    <tableColumn id="1" name="Ticker"/>
    <tableColumn id="2" name="Company"/>
    <tableColumn id="3" name="2022 Revenue ($mm)"/>
    <tableColumn id="4" name="2023 Revenue ($mm)"/>
    <tableColumn id="5" name="2024 Revenue ($mm)"/>
    <tableColumn id="6" name="2025 Revenue ($mm)"/>
    <tableColumn id="7" name="4Y Total ($mm)"/>
    <tableColumn id="8" name="4Y Average ($mm)"/>
    <tableColumn id="9" name="2022–25 CAGR"/>
    <tableColumn id="10" name="Primary Source 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ductServiceTable" displayName="ProductServiceTable" ref="A4:O40" headerRowCount="1">
  <autoFilter ref="A4:O40"/>
  <tableColumns count="15">
    <tableColumn id="1" name="Ticker"/>
    <tableColumn id="2" name="Company"/>
    <tableColumn id="3" name="Year"/>
    <tableColumn id="4" name="Disclosure basis"/>
    <tableColumn id="5" name="Product ($mm)"/>
    <tableColumn id="6" name="Service &amp; other ($mm)"/>
    <tableColumn id="7" name="Royalty ($mm)"/>
    <tableColumn id="8" name="Category sum ($mm)"/>
    <tableColumn id="9" name="Total revenue ($mm)"/>
    <tableColumn id="10" name="Reconciliation ($mm)"/>
    <tableColumn id="11" name="Product %"/>
    <tableColumn id="12" name="Service &amp; other %"/>
    <tableColumn id="13" name="Royalty %"/>
    <tableColumn id="14" name="Disclosure quality"/>
    <tableColumn id="15" name="Source UR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roxyTable" displayName="ProxyTable" ref="A4:N16" headerRowCount="1">
  <autoFilter ref="A4:N16"/>
  <tableColumns count="14">
    <tableColumn id="1" name="Ticker"/>
    <tableColumn id="2" name="Company"/>
    <tableColumn id="3" name="Year"/>
    <tableColumn id="4" name="Disclosure basis"/>
    <tableColumn id="5" name="Category 1"/>
    <tableColumn id="6" name="Category 1 Revenue ($mm)"/>
    <tableColumn id="7" name="Category 2"/>
    <tableColumn id="8" name="Category 2 Revenue ($mm)"/>
    <tableColumn id="9" name="Category 3"/>
    <tableColumn id="10" name="Category 3 Revenue ($mm)"/>
    <tableColumn id="11" name="Category sum ($mm)"/>
    <tableColumn id="12" name="Total revenue ($mm)"/>
    <tableColumn id="13" name="Reconciliation ($mm)"/>
    <tableColumn id="14" name="Interpretation 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MixTable" displayName="MixTable" ref="A4:M13" headerRowCount="1">
  <autoFilter ref="A4:M13"/>
  <tableColumns count="13">
    <tableColumn id="1" name="Ticker"/>
    <tableColumn id="2" name="Company"/>
    <tableColumn id="3" name="Disclosure basis"/>
    <tableColumn id="4" name="4Y Product ($mm)"/>
    <tableColumn id="5" name="4Y Service &amp; other ($mm)"/>
    <tableColumn id="6" name="4Y Royalty ($mm)"/>
    <tableColumn id="7" name="4Y Total ($mm)"/>
    <tableColumn id="8" name="Product mix"/>
    <tableColumn id="9" name="Service &amp; other mix"/>
    <tableColumn id="10" name="Royalty mix"/>
    <tableColumn id="11" name="2022 service mix"/>
    <tableColumn id="12" name="2025 service mix"/>
    <tableColumn id="13" name="Change (ppt)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ourcesTable" displayName="SourcesTable" ref="A4:F16" headerRowCount="1">
  <autoFilter ref="A4:F16"/>
  <tableColumns count="6">
    <tableColumn id="1" name="Ticker"/>
    <tableColumn id="2" name="Company"/>
    <tableColumn id="3" name="Source 1"/>
    <tableColumn id="4" name="Source 2"/>
    <tableColumn id="5" name="Disclosure basis used"/>
    <tableColumn id="6" name="Key limitation / 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24.q4cdn.com/305549747/files/doc_financials/2025/ar/A-ARS-10-K-BMK-2025.pdf" TargetMode="External" Id="rId1"/><Relationship Type="http://schemas.openxmlformats.org/officeDocument/2006/relationships/hyperlink" Target="https://www.sec.gov/Archives/edgar/data/12208/000001220826000010/bio-20251231.htm" TargetMode="External" Id="rId2"/><Relationship Type="http://schemas.openxmlformats.org/officeDocument/2006/relationships/hyperlink" Target="https://s22.q4cdn.com/617463959/files/doc_financials/2025/ar/2025-Bruker-Annual-Report.pdf" TargetMode="External" Id="rId3"/><Relationship Type="http://schemas.openxmlformats.org/officeDocument/2006/relationships/hyperlink" Target="https://filecache.investorroom.com/mr5ir_danaher/974/Danaher%202025%20Annual%20Report.pdf" TargetMode="External" Id="rId4"/><Relationship Type="http://schemas.openxmlformats.org/officeDocument/2006/relationships/hyperlink" Target="https://www.sec.gov/Archives/edgar/data/1110803/000111080326000024/ilmn-20251228.htm" TargetMode="External" Id="rId5"/><Relationship Type="http://schemas.openxmlformats.org/officeDocument/2006/relationships/hyperlink" Target="https://d18rn0p25nwr6d.cloudfront.net/CIK-0001037646/074ad430-471b-498e-a0f5-1f794b20eeee.pdf" TargetMode="External" Id="rId6"/><Relationship Type="http://schemas.openxmlformats.org/officeDocument/2006/relationships/hyperlink" Target="https://www.sec.gov/Archives/edgar/data/1299130/000129913024000054/pacb-20231231.htm" TargetMode="External" Id="rId7"/><Relationship Type="http://schemas.openxmlformats.org/officeDocument/2006/relationships/hyperlink" Target="https://s28.q4cdn.com/125951340/files/doc_financials/2023/ar/Cover-2023-20-F-Final-w-exhibits.pdf" TargetMode="External" Id="rId8"/><Relationship Type="http://schemas.openxmlformats.org/officeDocument/2006/relationships/hyperlink" Target="https://www.sec.gov/Archives/edgar/data/31791/000003179125000009/revv-20241229.htm" TargetMode="External" Id="rId9"/><Relationship Type="http://schemas.openxmlformats.org/officeDocument/2006/relationships/hyperlink" Target="https://www.sec.gov/Archives/edgar/data/842023/000155837025011716/tech-20250630x10k.htm" TargetMode="External" Id="rId10"/><Relationship Type="http://schemas.openxmlformats.org/officeDocument/2006/relationships/hyperlink" Target="https://www.sec.gov/Archives/edgar/data/97745/000009774526000018/tmo-20251231.htm" TargetMode="External" Id="rId11"/><Relationship Type="http://schemas.openxmlformats.org/officeDocument/2006/relationships/hyperlink" Target="https://www.sec.gov/Archives/edgar/data/1000697/000119312525034579/d791800d10k.htm" TargetMode="External" Id="rId12"/><Relationship Type="http://schemas.openxmlformats.org/officeDocument/2006/relationships/drawing" Target="/xl/drawings/drawing1.xml" Id="rId13"/><Relationship Type="http://schemas.openxmlformats.org/officeDocument/2006/relationships/table" Target="/xl/tables/table1.xml" Id="rId14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https://s24.q4cdn.com/305549747/files/doc_financials/2025/ar/A-ARS-10-K-BMK-2025.pdf" TargetMode="External" Id="rId1"/><Relationship Type="http://schemas.openxmlformats.org/officeDocument/2006/relationships/hyperlink" Target="https://s24.q4cdn.com/305549747/files/doc_financials/2025/ar/A-ARS-10-K-BMK-2025.pdf" TargetMode="External" Id="rId2"/><Relationship Type="http://schemas.openxmlformats.org/officeDocument/2006/relationships/hyperlink" Target="https://s24.q4cdn.com/305549747/files/doc_financials/2025/ar/A-ARS-10-K-BMK-2025.pdf" TargetMode="External" Id="rId3"/><Relationship Type="http://schemas.openxmlformats.org/officeDocument/2006/relationships/hyperlink" Target="https://s24.q4cdn.com/305549747/files/doc_financials/2025/ar/A-ARS-10-K-BMK-2025.pdf" TargetMode="External" Id="rId4"/><Relationship Type="http://schemas.openxmlformats.org/officeDocument/2006/relationships/hyperlink" Target="https://s22.q4cdn.com/617463959/files/doc_financials/2025/ar/2025-Bruker-Annual-Report.pdf" TargetMode="External" Id="rId5"/><Relationship Type="http://schemas.openxmlformats.org/officeDocument/2006/relationships/hyperlink" Target="https://s22.q4cdn.com/617463959/files/doc_financials/2025/ar/2025-Bruker-Annual-Report.pdf" TargetMode="External" Id="rId6"/><Relationship Type="http://schemas.openxmlformats.org/officeDocument/2006/relationships/hyperlink" Target="https://s22.q4cdn.com/617463959/files/doc_financials/2025/ar/2025-Bruker-Annual-Report.pdf" TargetMode="External" Id="rId7"/><Relationship Type="http://schemas.openxmlformats.org/officeDocument/2006/relationships/hyperlink" Target="https://s22.q4cdn.com/617463959/files/doc_financials/2025/ar/2025-Bruker-Annual-Report.pdf" TargetMode="External" Id="rId8"/><Relationship Type="http://schemas.openxmlformats.org/officeDocument/2006/relationships/hyperlink" Target="https://www.sec.gov/Archives/edgar/data/1110803/000111080326000024/ilmn-20251228.htm" TargetMode="External" Id="rId9"/><Relationship Type="http://schemas.openxmlformats.org/officeDocument/2006/relationships/hyperlink" Target="https://www.sec.gov/Archives/edgar/data/1110803/000111080326000024/ilmn-20251228.htm" TargetMode="External" Id="rId10"/><Relationship Type="http://schemas.openxmlformats.org/officeDocument/2006/relationships/hyperlink" Target="https://www.sec.gov/Archives/edgar/data/1110803/000111080326000024/ilmn-20251228.htm" TargetMode="External" Id="rId11"/><Relationship Type="http://schemas.openxmlformats.org/officeDocument/2006/relationships/hyperlink" Target="https://www.sec.gov/Archives/edgar/data/1110803/000111080326000024/ilmn-20251228.htm" TargetMode="External" Id="rId12"/><Relationship Type="http://schemas.openxmlformats.org/officeDocument/2006/relationships/hyperlink" Target="https://d18rn0p25nwr6d.cloudfront.net/CIK-0001037646/074ad430-471b-498e-a0f5-1f794b20eeee.pdf" TargetMode="External" Id="rId13"/><Relationship Type="http://schemas.openxmlformats.org/officeDocument/2006/relationships/hyperlink" Target="https://d18rn0p25nwr6d.cloudfront.net/CIK-0001037646/074ad430-471b-498e-a0f5-1f794b20eeee.pdf" TargetMode="External" Id="rId14"/><Relationship Type="http://schemas.openxmlformats.org/officeDocument/2006/relationships/hyperlink" Target="https://d18rn0p25nwr6d.cloudfront.net/CIK-0001037646/074ad430-471b-498e-a0f5-1f794b20eeee.pdf" TargetMode="External" Id="rId15"/><Relationship Type="http://schemas.openxmlformats.org/officeDocument/2006/relationships/hyperlink" Target="https://d18rn0p25nwr6d.cloudfront.net/CIK-0001037646/074ad430-471b-498e-a0f5-1f794b20eeee.pdf" TargetMode="External" Id="rId16"/><Relationship Type="http://schemas.openxmlformats.org/officeDocument/2006/relationships/hyperlink" Target="https://www.sec.gov/Archives/edgar/data/1299130/000129913024000054/pacb-20231231.htm" TargetMode="External" Id="rId17"/><Relationship Type="http://schemas.openxmlformats.org/officeDocument/2006/relationships/hyperlink" Target="https://www.sec.gov/Archives/edgar/data/1299130/000129913024000054/pacb-20231231.htm" TargetMode="External" Id="rId18"/><Relationship Type="http://schemas.openxmlformats.org/officeDocument/2006/relationships/hyperlink" Target="https://www.sec.gov/Archives/edgar/data/1299130/000129913024000054/pacb-20231231.htm" TargetMode="External" Id="rId19"/><Relationship Type="http://schemas.openxmlformats.org/officeDocument/2006/relationships/hyperlink" Target="https://www.sec.gov/Archives/edgar/data/1299130/000129913024000054/pacb-20231231.htm" TargetMode="External" Id="rId20"/><Relationship Type="http://schemas.openxmlformats.org/officeDocument/2006/relationships/hyperlink" Target="https://www.sec.gov/Archives/edgar/data/31791/000003179125000009/revv-20241229.htm" TargetMode="External" Id="rId21"/><Relationship Type="http://schemas.openxmlformats.org/officeDocument/2006/relationships/hyperlink" Target="https://www.sec.gov/Archives/edgar/data/31791/000003179125000009/revv-20241229.htm" TargetMode="External" Id="rId22"/><Relationship Type="http://schemas.openxmlformats.org/officeDocument/2006/relationships/hyperlink" Target="https://www.sec.gov/Archives/edgar/data/31791/000003179125000009/revv-20241229.htm" TargetMode="External" Id="rId23"/><Relationship Type="http://schemas.openxmlformats.org/officeDocument/2006/relationships/hyperlink" Target="https://www.sec.gov/Archives/edgar/data/31791/000003179125000009/revv-20241229.htm" TargetMode="External" Id="rId24"/><Relationship Type="http://schemas.openxmlformats.org/officeDocument/2006/relationships/hyperlink" Target="https://www.sec.gov/Archives/edgar/data/842023/000155837025011716/tech-20250630x10k.htm" TargetMode="External" Id="rId25"/><Relationship Type="http://schemas.openxmlformats.org/officeDocument/2006/relationships/hyperlink" Target="https://www.sec.gov/Archives/edgar/data/842023/000155837025011716/tech-20250630x10k.htm" TargetMode="External" Id="rId26"/><Relationship Type="http://schemas.openxmlformats.org/officeDocument/2006/relationships/hyperlink" Target="https://www.sec.gov/Archives/edgar/data/842023/000155837025011716/tech-20250630x10k.htm" TargetMode="External" Id="rId27"/><Relationship Type="http://schemas.openxmlformats.org/officeDocument/2006/relationships/hyperlink" Target="https://www.sec.gov/Archives/edgar/data/842023/000155837025011716/tech-20250630x10k.htm" TargetMode="External" Id="rId28"/><Relationship Type="http://schemas.openxmlformats.org/officeDocument/2006/relationships/hyperlink" Target="https://www.sec.gov/Archives/edgar/data/97745/000009774526000018/tmo-20251231.htm" TargetMode="External" Id="rId29"/><Relationship Type="http://schemas.openxmlformats.org/officeDocument/2006/relationships/hyperlink" Target="https://www.sec.gov/Archives/edgar/data/97745/000009774526000018/tmo-20251231.htm" TargetMode="External" Id="rId30"/><Relationship Type="http://schemas.openxmlformats.org/officeDocument/2006/relationships/hyperlink" Target="https://www.sec.gov/Archives/edgar/data/97745/000009774526000018/tmo-20251231.htm" TargetMode="External" Id="rId31"/><Relationship Type="http://schemas.openxmlformats.org/officeDocument/2006/relationships/hyperlink" Target="https://www.sec.gov/Archives/edgar/data/97745/000009774526000018/tmo-20251231.htm" TargetMode="External" Id="rId32"/><Relationship Type="http://schemas.openxmlformats.org/officeDocument/2006/relationships/hyperlink" Target="https://www.sec.gov/Archives/edgar/data/1000697/000119312525034579/d791800d10k.htm" TargetMode="External" Id="rId33"/><Relationship Type="http://schemas.openxmlformats.org/officeDocument/2006/relationships/hyperlink" Target="https://www.sec.gov/Archives/edgar/data/1000697/000119312525034579/d791800d10k.htm" TargetMode="External" Id="rId34"/><Relationship Type="http://schemas.openxmlformats.org/officeDocument/2006/relationships/hyperlink" Target="https://www.sec.gov/Archives/edgar/data/1000697/000119312525034579/d791800d10k.htm" TargetMode="External" Id="rId35"/><Relationship Type="http://schemas.openxmlformats.org/officeDocument/2006/relationships/hyperlink" Target="https://www.sec.gov/Archives/edgar/data/1000697/000119312525034579/d791800d10k.htm" TargetMode="External" Id="rId36"/><Relationship Type="http://schemas.openxmlformats.org/officeDocument/2006/relationships/table" Target="/xl/tables/table2.xml" Id="rId37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s24.q4cdn.com/305549747/files/doc_financials/2025/ar/A-ARS-10-K-BMK-2025.pdf" TargetMode="External" Id="rId1"/><Relationship Type="http://schemas.openxmlformats.org/officeDocument/2006/relationships/hyperlink" Target="https://s24.q4cdn.com/305549747/files/doc_financials/2023/ar/agilent-form-10-k_fy23.pdf" TargetMode="External" Id="rId2"/><Relationship Type="http://schemas.openxmlformats.org/officeDocument/2006/relationships/hyperlink" Target="https://www.sec.gov/Archives/edgar/data/12208/000001220826000010/bio-20251231.htm" TargetMode="External" Id="rId3"/><Relationship Type="http://schemas.openxmlformats.org/officeDocument/2006/relationships/hyperlink" Target="https://www.sec.gov/Archives/edgar/data/12208/000001220825000007/bio-20241231.htm" TargetMode="External" Id="rId4"/><Relationship Type="http://schemas.openxmlformats.org/officeDocument/2006/relationships/hyperlink" Target="https://s22.q4cdn.com/617463959/files/doc_financials/2025/ar/2025-Bruker-Annual-Report.pdf" TargetMode="External" Id="rId5"/><Relationship Type="http://schemas.openxmlformats.org/officeDocument/2006/relationships/hyperlink" Target="https://annualreport.stocklight.com/nasdaq/brkr/23688325.pdf" TargetMode="External" Id="rId6"/><Relationship Type="http://schemas.openxmlformats.org/officeDocument/2006/relationships/hyperlink" Target="https://filecache.investorroom.com/mr5ir_danaher/974/Danaher%202025%20Annual%20Report.pdf" TargetMode="External" Id="rId7"/><Relationship Type="http://schemas.openxmlformats.org/officeDocument/2006/relationships/hyperlink" Target="https://www.sec.gov/Archives/edgar/data/313616/000031361624000052/dhr-20231231.htm" TargetMode="External" Id="rId8"/><Relationship Type="http://schemas.openxmlformats.org/officeDocument/2006/relationships/hyperlink" Target="https://www.sec.gov/Archives/edgar/data/1110803/000111080326000024/ilmn-20251228.htm" TargetMode="External" Id="rId9"/><Relationship Type="http://schemas.openxmlformats.org/officeDocument/2006/relationships/hyperlink" Target="https://www.sec.gov/Archives/edgar/data/1110803/000119312524087278/d534823dars.pdf" TargetMode="External" Id="rId10"/><Relationship Type="http://schemas.openxmlformats.org/officeDocument/2006/relationships/hyperlink" Target="https://d18rn0p25nwr6d.cloudfront.net/CIK-0001037646/074ad430-471b-498e-a0f5-1f794b20eeee.pdf" TargetMode="External" Id="rId11"/><Relationship Type="http://schemas.openxmlformats.org/officeDocument/2006/relationships/hyperlink" Target="https://www.sec.gov/Archives/edgar/data/1299130/000129913024000054/pacb-20231231.htm" TargetMode="External" Id="rId12"/><Relationship Type="http://schemas.openxmlformats.org/officeDocument/2006/relationships/hyperlink" Target="https://s28.q4cdn.com/125951340/files/doc_financials/2023/ar/Cover-2023-20-F-Final-w-exhibits.pdf" TargetMode="External" Id="rId13"/><Relationship Type="http://schemas.openxmlformats.org/officeDocument/2006/relationships/hyperlink" Target="https://www.marketscreener.com/news/qiagen-n-2025-annual-report-2025-annual-financial-report-ce7f5bded889f322" TargetMode="External" Id="rId14"/><Relationship Type="http://schemas.openxmlformats.org/officeDocument/2006/relationships/hyperlink" Target="https://www.sec.gov/Archives/edgar/data/31791/000003179125000009/revv-20241229.htm" TargetMode="External" Id="rId15"/><Relationship Type="http://schemas.openxmlformats.org/officeDocument/2006/relationships/hyperlink" Target="https://www.sec.gov/Archives/edgar/data/842023/000155837025011716/tech-20250630x10k.htm" TargetMode="External" Id="rId16"/><Relationship Type="http://schemas.openxmlformats.org/officeDocument/2006/relationships/hyperlink" Target="https://www.sec.gov/Archives/edgar/data/97745/000009774526000018/tmo-20251231.htm" TargetMode="External" Id="rId17"/><Relationship Type="http://schemas.openxmlformats.org/officeDocument/2006/relationships/hyperlink" Target="https://www.sec.gov/Archives/edgar/data/1000697/000119312525034579/d791800d10k.htm" TargetMode="External" Id="rId18"/><Relationship Type="http://schemas.openxmlformats.org/officeDocument/2006/relationships/table" Target="/xl/tables/table5.xml" Id="rId19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5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</cols>
  <sheetData>
    <row r="1" ht="26" customHeight="1">
      <c r="A1" s="1" t="inlineStr">
        <is>
          <t>Life Science Tools Revenue &amp; Product/Service Breakdown</t>
        </is>
      </c>
    </row>
    <row r="2" ht="30" customHeight="1">
      <c r="A2" s="2" t="inlineStr">
        <is>
          <t>Figures previously compiled in this conversation for fiscal years 2022–2025. Units are USD millions unless otherwise noted.</t>
        </is>
      </c>
    </row>
    <row r="3"/>
    <row r="4" ht="22" customHeight="1">
      <c r="A4" s="3" t="inlineStr">
        <is>
          <t>Workbook contents</t>
        </is>
      </c>
    </row>
    <row r="5" ht="28" customHeight="1">
      <c r="A5" s="5" t="inlineStr">
        <is>
          <t>Total Revenue</t>
        </is>
      </c>
      <c r="B5" s="6" t="inlineStr">
        <is>
          <t>Reported consolidated revenue by ticker and year, plus 4-year totals, averages and CAGR.</t>
        </is>
      </c>
      <c r="C5" s="4" t="n"/>
      <c r="D5" s="4" t="n"/>
      <c r="E5" s="4" t="n"/>
      <c r="F5" s="4" t="n"/>
      <c r="G5" s="4" t="n"/>
      <c r="H5" s="4" t="n"/>
    </row>
    <row r="6" ht="28" customHeight="1">
      <c r="A6" s="5" t="inlineStr">
        <is>
          <t>Product-Service</t>
        </is>
      </c>
      <c r="B6" s="6" t="inlineStr">
        <is>
          <t>Clean or near-comparable product/service disclosures. “Service &amp; other” is preserved where companies combine categories.</t>
        </is>
      </c>
      <c r="C6" s="4" t="n"/>
      <c r="D6" s="4" t="n"/>
      <c r="E6" s="4" t="n"/>
      <c r="F6" s="4" t="n"/>
      <c r="G6" s="4" t="n"/>
      <c r="H6" s="4" t="n"/>
    </row>
    <row r="7" ht="28" customHeight="1">
      <c r="A7" s="5" t="inlineStr">
        <is>
          <t>Proxy Breakdowns</t>
        </is>
      </c>
      <c r="B7" s="6" t="inlineStr">
        <is>
          <t>BIO, DHR and QGEN disclosures that are useful but should not be relabeled as clean product/service splits.</t>
        </is>
      </c>
      <c r="C7" s="4" t="n"/>
      <c r="D7" s="4" t="n"/>
      <c r="E7" s="4" t="n"/>
      <c r="F7" s="4" t="n"/>
      <c r="G7" s="4" t="n"/>
      <c r="H7" s="4" t="n"/>
    </row>
    <row r="8" ht="28" customHeight="1">
      <c r="A8" s="5" t="inlineStr">
        <is>
          <t>4Y Mix Summary</t>
        </is>
      </c>
      <c r="B8" s="6" t="inlineStr">
        <is>
          <t>Four-year cumulative mix for the comparable product/service group.</t>
        </is>
      </c>
      <c r="C8" s="4" t="n"/>
      <c r="D8" s="4" t="n"/>
      <c r="E8" s="4" t="n"/>
      <c r="F8" s="4" t="n"/>
      <c r="G8" s="4" t="n"/>
      <c r="H8" s="4" t="n"/>
    </row>
    <row r="9" ht="28" customHeight="1">
      <c r="A9" s="5" t="inlineStr">
        <is>
          <t>Sources &amp; Notes</t>
        </is>
      </c>
      <c r="B9" s="6" t="inlineStr">
        <is>
          <t>Source URLs, disclosure limitations and comparability notes.</t>
        </is>
      </c>
      <c r="C9" s="4" t="n"/>
      <c r="D9" s="4" t="n"/>
      <c r="E9" s="4" t="n"/>
      <c r="F9" s="4" t="n"/>
      <c r="G9" s="4" t="n"/>
      <c r="H9" s="4" t="n"/>
    </row>
    <row r="10" ht="22" customHeight="1">
      <c r="A10" s="3" t="inlineStr"/>
    </row>
    <row r="11" ht="22" customHeight="1">
      <c r="A11" s="3" t="inlineStr">
        <is>
          <t>Important limitations</t>
        </is>
      </c>
    </row>
    <row r="12" ht="28" customHeight="1">
      <c r="A12" s="5" t="inlineStr">
        <is>
          <t>Comparability</t>
        </is>
      </c>
      <c r="B12" s="6" t="inlineStr">
        <is>
          <t>Company definitions differ. Product/service categories should not be compared without reading the disclosure-basis and quality columns.</t>
        </is>
      </c>
      <c r="C12" s="4" t="n"/>
      <c r="D12" s="4" t="n"/>
      <c r="E12" s="4" t="n"/>
      <c r="F12" s="4" t="n"/>
      <c r="G12" s="4" t="n"/>
      <c r="H12" s="4" t="n"/>
    </row>
    <row r="13" ht="28" customHeight="1">
      <c r="A13" s="5" t="inlineStr">
        <is>
          <t>Danaher</t>
        </is>
      </c>
      <c r="B13" s="6" t="inlineStr">
        <is>
          <t>Recurring/nonrecurring is a proxy, not a product/service split.</t>
        </is>
      </c>
      <c r="C13" s="4" t="n"/>
      <c r="D13" s="4" t="n"/>
      <c r="E13" s="4" t="n"/>
      <c r="F13" s="4" t="n"/>
      <c r="G13" s="4" t="n"/>
      <c r="H13" s="4" t="n"/>
    </row>
    <row r="14" ht="28" customHeight="1">
      <c r="A14" s="5" t="inlineStr">
        <is>
          <t>QIAGEN</t>
        </is>
      </c>
      <c r="B14" s="6" t="inlineStr">
        <is>
          <t>Consumables &amp; related/instrumentation is a proxy; both buckets can contain service-related items.</t>
        </is>
      </c>
      <c r="C14" s="4" t="n"/>
      <c r="D14" s="4" t="n"/>
      <c r="E14" s="4" t="n"/>
      <c r="F14" s="4" t="n"/>
      <c r="G14" s="4" t="n"/>
      <c r="H14" s="4" t="n"/>
    </row>
    <row r="15" ht="28" customHeight="1">
      <c r="A15" s="5" t="inlineStr">
        <is>
          <t>Bio-Rad</t>
        </is>
      </c>
      <c r="B15" s="6" t="inlineStr">
        <is>
          <t>Segment revenue is shown because the company does not provide a practical product/service revenue split.</t>
        </is>
      </c>
      <c r="C15" s="4" t="n"/>
      <c r="D15" s="4" t="n"/>
      <c r="E15" s="4" t="n"/>
      <c r="F15" s="4" t="n"/>
      <c r="G15" s="4" t="n"/>
      <c r="H15" s="4" t="n"/>
    </row>
    <row r="16" ht="28" customHeight="1">
      <c r="A16" s="5" t="inlineStr">
        <is>
          <t>Illumina</t>
        </is>
      </c>
      <c r="B16" s="6" t="inlineStr">
        <is>
          <t>GRAIL affects 2023 and part of 2024 service/other comparability.</t>
        </is>
      </c>
      <c r="C16" s="4" t="n"/>
      <c r="D16" s="4" t="n"/>
      <c r="E16" s="4" t="n"/>
      <c r="F16" s="4" t="n"/>
      <c r="G16" s="4" t="n"/>
      <c r="H16" s="4" t="n"/>
    </row>
    <row r="17" ht="28" customHeight="1">
      <c r="A17" s="5" t="inlineStr">
        <is>
          <t>Rounding</t>
        </is>
      </c>
      <c r="B17" s="6" t="inlineStr">
        <is>
          <t>Category sums can differ from total revenue because companies report rounded figures; differences are generally $0.1mm and can reach $1mm for whole-million disclosures such as Thermo Fisher.</t>
        </is>
      </c>
      <c r="C17" s="4" t="n"/>
      <c r="D17" s="4" t="n"/>
      <c r="E17" s="4" t="n"/>
      <c r="F17" s="4" t="n"/>
      <c r="G17" s="4" t="n"/>
      <c r="H17" s="4" t="n"/>
    </row>
    <row r="18" ht="28" customHeight="1">
      <c r="A18" s="5" t="inlineStr">
        <is>
          <t>Source status</t>
        </is>
      </c>
      <c r="B18" s="6" t="inlineStr">
        <is>
          <t>The workbook preserves the earlier compiled figures and URLs. Verify source filings before external publication.</t>
        </is>
      </c>
      <c r="C18" s="4" t="n"/>
      <c r="D18" s="4" t="n"/>
      <c r="E18" s="4" t="n"/>
      <c r="F18" s="4" t="n"/>
      <c r="G18" s="4" t="n"/>
      <c r="H18" s="4" t="n"/>
    </row>
  </sheetData>
  <mergeCells count="5">
    <mergeCell ref="A4:H4"/>
    <mergeCell ref="A2:H2"/>
    <mergeCell ref="A10:H10"/>
    <mergeCell ref="A11:H11"/>
    <mergeCell ref="A1:H1"/>
  </mergeCells>
  <pageMargins left="0.25" right="0.2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7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7" customWidth="1" min="2" max="2"/>
    <col width="18" customWidth="1" min="3" max="3"/>
    <col width="18" customWidth="1" min="4" max="4"/>
    <col width="18" customWidth="1" min="5" max="5"/>
    <col width="18" customWidth="1" min="6" max="6"/>
    <col width="17" customWidth="1" min="7" max="7"/>
    <col width="18" customWidth="1" min="8" max="8"/>
    <col width="14" customWidth="1" min="9" max="9"/>
    <col width="48" customWidth="1" min="10" max="10"/>
  </cols>
  <sheetData>
    <row r="1" ht="26" customHeight="1">
      <c r="A1" s="1" t="inlineStr">
        <is>
          <t>Total Revenue by Company, 2022–2025</t>
        </is>
      </c>
    </row>
    <row r="2" ht="30" customHeight="1">
      <c r="A2" s="2" t="inlineStr">
        <is>
          <t>Reported consolidated revenue; USD millions.</t>
        </is>
      </c>
    </row>
    <row r="4">
      <c r="A4" s="7" t="inlineStr">
        <is>
          <t>Ticker</t>
        </is>
      </c>
      <c r="B4" s="7" t="inlineStr">
        <is>
          <t>Company</t>
        </is>
      </c>
      <c r="C4" s="7" t="inlineStr">
        <is>
          <t>2022 Revenue ($mm)</t>
        </is>
      </c>
      <c r="D4" s="7" t="inlineStr">
        <is>
          <t>2023 Revenue ($mm)</t>
        </is>
      </c>
      <c r="E4" s="7" t="inlineStr">
        <is>
          <t>2024 Revenue ($mm)</t>
        </is>
      </c>
      <c r="F4" s="7" t="inlineStr">
        <is>
          <t>2025 Revenue ($mm)</t>
        </is>
      </c>
      <c r="G4" s="7" t="inlineStr">
        <is>
          <t>4Y Total ($mm)</t>
        </is>
      </c>
      <c r="H4" s="7" t="inlineStr">
        <is>
          <t>4Y Average ($mm)</t>
        </is>
      </c>
      <c r="I4" s="7" t="inlineStr">
        <is>
          <t>2022–25 CAGR</t>
        </is>
      </c>
      <c r="J4" s="7" t="inlineStr">
        <is>
          <t>Primary Source URL</t>
        </is>
      </c>
    </row>
    <row r="5">
      <c r="A5" s="8" t="inlineStr">
        <is>
          <t>A</t>
        </is>
      </c>
      <c r="B5" s="8" t="inlineStr">
        <is>
          <t>Agilent Technologies</t>
        </is>
      </c>
      <c r="C5" s="9" t="n">
        <v>6848</v>
      </c>
      <c r="D5" s="9" t="n">
        <v>6833</v>
      </c>
      <c r="E5" s="9" t="n">
        <v>6510</v>
      </c>
      <c r="F5" s="9" t="n">
        <v>6948</v>
      </c>
      <c r="G5" s="10">
        <f>SUM(C5:F5)</f>
        <v/>
      </c>
      <c r="H5" s="10">
        <f>AVERAGE(C5:F5)</f>
        <v/>
      </c>
      <c r="I5" s="11">
        <f>IFERROR((F5/C5)^(1/3)-1,0)</f>
        <v/>
      </c>
      <c r="J5" s="12" t="inlineStr">
        <is>
          <t>https://s24.q4cdn.com/305549747/files/doc_financials/2025/ar/A-ARS-10-K-BMK-2025.pdf</t>
        </is>
      </c>
    </row>
    <row r="6">
      <c r="A6" s="8" t="inlineStr">
        <is>
          <t>BIO</t>
        </is>
      </c>
      <c r="B6" s="8" t="inlineStr">
        <is>
          <t>Bio-Rad Laboratories</t>
        </is>
      </c>
      <c r="C6" s="9" t="n">
        <v>2802.2</v>
      </c>
      <c r="D6" s="9" t="n">
        <v>2671.2</v>
      </c>
      <c r="E6" s="9" t="n">
        <v>2566.5</v>
      </c>
      <c r="F6" s="9" t="n">
        <v>2583.2</v>
      </c>
      <c r="G6" s="10">
        <f>SUM(C6:F6)</f>
        <v/>
      </c>
      <c r="H6" s="10">
        <f>AVERAGE(C6:F6)</f>
        <v/>
      </c>
      <c r="I6" s="11">
        <f>IFERROR((F6/C6)^(1/3)-1,0)</f>
        <v/>
      </c>
      <c r="J6" s="12" t="inlineStr">
        <is>
          <t>https://www.sec.gov/Archives/edgar/data/12208/000001220826000010/bio-20251231.htm</t>
        </is>
      </c>
    </row>
    <row r="7">
      <c r="A7" s="8" t="inlineStr">
        <is>
          <t>BRKR</t>
        </is>
      </c>
      <c r="B7" s="8" t="inlineStr">
        <is>
          <t>Bruker</t>
        </is>
      </c>
      <c r="C7" s="9" t="n">
        <v>2530.7</v>
      </c>
      <c r="D7" s="9" t="n">
        <v>2964.5</v>
      </c>
      <c r="E7" s="9" t="n">
        <v>3366.4</v>
      </c>
      <c r="F7" s="9" t="n">
        <v>3436.5</v>
      </c>
      <c r="G7" s="10">
        <f>SUM(C7:F7)</f>
        <v/>
      </c>
      <c r="H7" s="10">
        <f>AVERAGE(C7:F7)</f>
        <v/>
      </c>
      <c r="I7" s="11">
        <f>IFERROR((F7/C7)^(1/3)-1,0)</f>
        <v/>
      </c>
      <c r="J7" s="12" t="inlineStr">
        <is>
          <t>https://s22.q4cdn.com/617463959/files/doc_financials/2025/ar/2025-Bruker-Annual-Report.pdf</t>
        </is>
      </c>
    </row>
    <row r="8">
      <c r="A8" s="8" t="inlineStr">
        <is>
          <t>DHR</t>
        </is>
      </c>
      <c r="B8" s="8" t="inlineStr">
        <is>
          <t>Danaher</t>
        </is>
      </c>
      <c r="C8" s="9" t="n">
        <v>26643</v>
      </c>
      <c r="D8" s="9" t="n">
        <v>23890</v>
      </c>
      <c r="E8" s="9" t="n">
        <v>23875</v>
      </c>
      <c r="F8" s="9" t="n">
        <v>24568</v>
      </c>
      <c r="G8" s="10">
        <f>SUM(C8:F8)</f>
        <v/>
      </c>
      <c r="H8" s="10">
        <f>AVERAGE(C8:F8)</f>
        <v/>
      </c>
      <c r="I8" s="11">
        <f>IFERROR((F8/C8)^(1/3)-1,0)</f>
        <v/>
      </c>
      <c r="J8" s="12" t="inlineStr">
        <is>
          <t>https://filecache.investorroom.com/mr5ir_danaher/974/Danaher%202025%20Annual%20Report.pdf</t>
        </is>
      </c>
    </row>
    <row r="9">
      <c r="A9" s="8" t="inlineStr">
        <is>
          <t>ILMN</t>
        </is>
      </c>
      <c r="B9" s="8" t="inlineStr">
        <is>
          <t>Illumina</t>
        </is>
      </c>
      <c r="C9" s="9" t="n">
        <v>4584</v>
      </c>
      <c r="D9" s="9" t="n">
        <v>4504</v>
      </c>
      <c r="E9" s="9" t="n">
        <v>4372</v>
      </c>
      <c r="F9" s="9" t="n">
        <v>4343</v>
      </c>
      <c r="G9" s="10">
        <f>SUM(C9:F9)</f>
        <v/>
      </c>
      <c r="H9" s="10">
        <f>AVERAGE(C9:F9)</f>
        <v/>
      </c>
      <c r="I9" s="11">
        <f>IFERROR((F9/C9)^(1/3)-1,0)</f>
        <v/>
      </c>
      <c r="J9" s="12" t="inlineStr">
        <is>
          <t>https://www.sec.gov/Archives/edgar/data/1110803/000111080326000024/ilmn-20251228.htm</t>
        </is>
      </c>
    </row>
    <row r="10">
      <c r="A10" s="8" t="inlineStr">
        <is>
          <t>MTD</t>
        </is>
      </c>
      <c r="B10" s="8" t="inlineStr">
        <is>
          <t>Mettler-Toledo</t>
        </is>
      </c>
      <c r="C10" s="9" t="n">
        <v>3919.7</v>
      </c>
      <c r="D10" s="9" t="n">
        <v>3788.3</v>
      </c>
      <c r="E10" s="9" t="n">
        <v>3872.4</v>
      </c>
      <c r="F10" s="9" t="n">
        <v>4026.4</v>
      </c>
      <c r="G10" s="10">
        <f>SUM(C10:F10)</f>
        <v/>
      </c>
      <c r="H10" s="10">
        <f>AVERAGE(C10:F10)</f>
        <v/>
      </c>
      <c r="I10" s="11">
        <f>IFERROR((F10/C10)^(1/3)-1,0)</f>
        <v/>
      </c>
      <c r="J10" s="12" t="inlineStr">
        <is>
          <t>https://d18rn0p25nwr6d.cloudfront.net/CIK-0001037646/074ad430-471b-498e-a0f5-1f794b20eeee.pdf</t>
        </is>
      </c>
    </row>
    <row r="11">
      <c r="A11" s="8" t="inlineStr">
        <is>
          <t>PACB</t>
        </is>
      </c>
      <c r="B11" s="8" t="inlineStr">
        <is>
          <t>Pacific Biosciences</t>
        </is>
      </c>
      <c r="C11" s="9" t="n">
        <v>128.3</v>
      </c>
      <c r="D11" s="9" t="n">
        <v>200.5</v>
      </c>
      <c r="E11" s="9" t="n">
        <v>154</v>
      </c>
      <c r="F11" s="9" t="n">
        <v>160</v>
      </c>
      <c r="G11" s="10">
        <f>SUM(C11:F11)</f>
        <v/>
      </c>
      <c r="H11" s="10">
        <f>AVERAGE(C11:F11)</f>
        <v/>
      </c>
      <c r="I11" s="11">
        <f>IFERROR((F11/C11)^(1/3)-1,0)</f>
        <v/>
      </c>
      <c r="J11" s="12" t="inlineStr">
        <is>
          <t>https://www.sec.gov/Archives/edgar/data/1299130/000129913024000054/pacb-20231231.htm</t>
        </is>
      </c>
    </row>
    <row r="12">
      <c r="A12" s="8" t="inlineStr">
        <is>
          <t>QGEN</t>
        </is>
      </c>
      <c r="B12" s="8" t="inlineStr">
        <is>
          <t>QIAGEN</t>
        </is>
      </c>
      <c r="C12" s="9" t="n">
        <v>2141.5</v>
      </c>
      <c r="D12" s="9" t="n">
        <v>1965.3</v>
      </c>
      <c r="E12" s="9" t="n">
        <v>1978.2</v>
      </c>
      <c r="F12" s="9" t="n">
        <v>2090</v>
      </c>
      <c r="G12" s="10">
        <f>SUM(C12:F12)</f>
        <v/>
      </c>
      <c r="H12" s="10">
        <f>AVERAGE(C12:F12)</f>
        <v/>
      </c>
      <c r="I12" s="11">
        <f>IFERROR((F12/C12)^(1/3)-1,0)</f>
        <v/>
      </c>
      <c r="J12" s="12" t="inlineStr">
        <is>
          <t>https://s28.q4cdn.com/125951340/files/doc_financials/2023/ar/Cover-2023-20-F-Final-w-exhibits.pdf</t>
        </is>
      </c>
    </row>
    <row r="13">
      <c r="A13" s="8" t="inlineStr">
        <is>
          <t>RVTY</t>
        </is>
      </c>
      <c r="B13" s="8" t="inlineStr">
        <is>
          <t>Revvity</t>
        </is>
      </c>
      <c r="C13" s="9" t="n">
        <v>3311.8</v>
      </c>
      <c r="D13" s="9" t="n">
        <v>2750.6</v>
      </c>
      <c r="E13" s="9" t="n">
        <v>2755</v>
      </c>
      <c r="F13" s="9" t="n">
        <v>2856.1</v>
      </c>
      <c r="G13" s="10">
        <f>SUM(C13:F13)</f>
        <v/>
      </c>
      <c r="H13" s="10">
        <f>AVERAGE(C13:F13)</f>
        <v/>
      </c>
      <c r="I13" s="11">
        <f>IFERROR((F13/C13)^(1/3)-1,0)</f>
        <v/>
      </c>
      <c r="J13" s="12" t="inlineStr">
        <is>
          <t>https://www.sec.gov/Archives/edgar/data/31791/000003179125000009/revv-20241229.htm</t>
        </is>
      </c>
    </row>
    <row r="14">
      <c r="A14" s="8" t="inlineStr">
        <is>
          <t>TECH</t>
        </is>
      </c>
      <c r="B14" s="8" t="inlineStr">
        <is>
          <t>Bio-Techne</t>
        </is>
      </c>
      <c r="C14" s="9" t="n">
        <v>1105.6</v>
      </c>
      <c r="D14" s="9" t="n">
        <v>1136.7</v>
      </c>
      <c r="E14" s="9" t="n">
        <v>1159.1</v>
      </c>
      <c r="F14" s="9" t="n">
        <v>1219.6</v>
      </c>
      <c r="G14" s="10">
        <f>SUM(C14:F14)</f>
        <v/>
      </c>
      <c r="H14" s="10">
        <f>AVERAGE(C14:F14)</f>
        <v/>
      </c>
      <c r="I14" s="11">
        <f>IFERROR((F14/C14)^(1/3)-1,0)</f>
        <v/>
      </c>
      <c r="J14" s="12" t="inlineStr">
        <is>
          <t>https://www.sec.gov/Archives/edgar/data/842023/000155837025011716/tech-20250630x10k.htm</t>
        </is>
      </c>
    </row>
    <row r="15">
      <c r="A15" s="8" t="inlineStr">
        <is>
          <t>TMO</t>
        </is>
      </c>
      <c r="B15" s="8" t="inlineStr">
        <is>
          <t>Thermo Fisher Scientific</t>
        </is>
      </c>
      <c r="C15" s="9" t="n">
        <v>44915</v>
      </c>
      <c r="D15" s="9" t="n">
        <v>42857</v>
      </c>
      <c r="E15" s="9" t="n">
        <v>42879</v>
      </c>
      <c r="F15" s="9" t="n">
        <v>44556</v>
      </c>
      <c r="G15" s="10">
        <f>SUM(C15:F15)</f>
        <v/>
      </c>
      <c r="H15" s="10">
        <f>AVERAGE(C15:F15)</f>
        <v/>
      </c>
      <c r="I15" s="11">
        <f>IFERROR((F15/C15)^(1/3)-1,0)</f>
        <v/>
      </c>
      <c r="J15" s="21" t="inlineStr">
        <is>
          <t>https://www.sec.gov/Archives/edgar/data/97745/000009774526000018/tmo-20251231.htm</t>
        </is>
      </c>
    </row>
    <row r="16">
      <c r="A16" s="8" t="inlineStr">
        <is>
          <t>WAT</t>
        </is>
      </c>
      <c r="B16" s="8" t="inlineStr">
        <is>
          <t>Waters</t>
        </is>
      </c>
      <c r="C16" s="9" t="n">
        <v>2972</v>
      </c>
      <c r="D16" s="9" t="n">
        <v>2956.4</v>
      </c>
      <c r="E16" s="9" t="n">
        <v>2958.4</v>
      </c>
      <c r="F16" s="9" t="n">
        <v>3165.3</v>
      </c>
      <c r="G16" s="10">
        <f>SUM(C16:F16)</f>
        <v/>
      </c>
      <c r="H16" s="10">
        <f>AVERAGE(C16:F16)</f>
        <v/>
      </c>
      <c r="I16" s="11">
        <f>IFERROR((F16/C16)^(1/3)-1,0)</f>
        <v/>
      </c>
      <c r="J16" s="12" t="inlineStr">
        <is>
          <t>https://www.sec.gov/Archives/edgar/data/1000697/000119312525034579/d791800d10k.htm</t>
        </is>
      </c>
    </row>
    <row r="17">
      <c r="A17" s="13" t="inlineStr">
        <is>
          <t>Total / Median</t>
        </is>
      </c>
      <c r="B17" s="22" t="n"/>
      <c r="C17" s="15">
        <f>SUM(C5:C16)</f>
        <v/>
      </c>
      <c r="D17" s="15">
        <f>SUM(D5:D16)</f>
        <v/>
      </c>
      <c r="E17" s="15">
        <f>SUM(E5:E16)</f>
        <v/>
      </c>
      <c r="F17" s="15">
        <f>SUM(F5:F16)</f>
        <v/>
      </c>
      <c r="G17" s="15">
        <f>SUM(G5:G16)</f>
        <v/>
      </c>
      <c r="H17" s="15">
        <f>AVERAGE(H5:H16)</f>
        <v/>
      </c>
      <c r="I17" s="16">
        <f>MEDIAN(I5:I16)</f>
        <v/>
      </c>
      <c r="J17" s="14" t="n"/>
    </row>
  </sheetData>
  <autoFilter ref="A4:J16"/>
  <mergeCells count="3">
    <mergeCell ref="A1:J1"/>
    <mergeCell ref="A17:B17"/>
    <mergeCell ref="A2:J2"/>
  </mergeCells>
  <hyperlinks>
    <hyperlink xmlns:r="http://schemas.openxmlformats.org/officeDocument/2006/relationships" ref="J5" r:id="rId1"/>
    <hyperlink xmlns:r="http://schemas.openxmlformats.org/officeDocument/2006/relationships" ref="J6" r:id="rId2"/>
    <hyperlink xmlns:r="http://schemas.openxmlformats.org/officeDocument/2006/relationships" ref="J7" r:id="rId3"/>
    <hyperlink xmlns:r="http://schemas.openxmlformats.org/officeDocument/2006/relationships" ref="J8" r:id="rId4"/>
    <hyperlink xmlns:r="http://schemas.openxmlformats.org/officeDocument/2006/relationships" ref="J9" r:id="rId5"/>
    <hyperlink xmlns:r="http://schemas.openxmlformats.org/officeDocument/2006/relationships" ref="J10" r:id="rId6"/>
    <hyperlink xmlns:r="http://schemas.openxmlformats.org/officeDocument/2006/relationships" ref="J11" r:id="rId7"/>
    <hyperlink xmlns:r="http://schemas.openxmlformats.org/officeDocument/2006/relationships" ref="J12" r:id="rId8"/>
    <hyperlink xmlns:r="http://schemas.openxmlformats.org/officeDocument/2006/relationships" ref="J13" r:id="rId9"/>
    <hyperlink xmlns:r="http://schemas.openxmlformats.org/officeDocument/2006/relationships" ref="J14" r:id="rId10"/>
    <hyperlink xmlns:r="http://schemas.openxmlformats.org/officeDocument/2006/relationships" ref="J15" r:id="rId11"/>
    <hyperlink xmlns:r="http://schemas.openxmlformats.org/officeDocument/2006/relationships" ref="J16" r:id="rId12"/>
  </hyperlinks>
  <pageMargins left="0.25" right="0.25" top="0.5" bottom="0.5" header="0.5" footer="0.5"/>
  <pageSetup fitToHeight="0" fitToWidth="1"/>
  <drawing xmlns:r="http://schemas.openxmlformats.org/officeDocument/2006/relationships" r:id="rId13"/>
  <legacyDrawing xmlns:r="http://schemas.openxmlformats.org/officeDocument/2006/relationships" r:id="anysvml"/>
  <tableParts count="1">
    <tablePart xmlns:r="http://schemas.openxmlformats.org/officeDocument/2006/relationships" r:id="rId14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40"/>
  <sheetViews>
    <sheetView showGridLines="0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26" customWidth="1" min="4" max="4"/>
    <col width="15" customWidth="1" min="5" max="5"/>
    <col width="19" customWidth="1" min="6" max="6"/>
    <col width="13" customWidth="1" min="7" max="7"/>
    <col width="17" customWidth="1" min="8" max="8"/>
    <col width="17" customWidth="1" min="9" max="9"/>
    <col width="17" customWidth="1" min="10" max="10"/>
    <col width="12" customWidth="1" min="11" max="11"/>
    <col width="16" customWidth="1" min="12" max="12"/>
    <col width="11" customWidth="1" min="13" max="13"/>
    <col width="55" customWidth="1" min="14" max="14"/>
    <col width="48" customWidth="1" min="15" max="15"/>
  </cols>
  <sheetData>
    <row r="1" ht="26" customHeight="1">
      <c r="A1" s="1" t="inlineStr">
        <is>
          <t>Product / Service Revenue Detail</t>
        </is>
      </c>
    </row>
    <row r="2" ht="30" customHeight="1">
      <c r="A2" s="2" t="inlineStr">
        <is>
          <t>Clean or near-comparable disclosures. USD millions; service may include “other” where stated.</t>
        </is>
      </c>
    </row>
    <row r="4">
      <c r="A4" s="7" t="inlineStr">
        <is>
          <t>Ticker</t>
        </is>
      </c>
      <c r="B4" s="7" t="inlineStr">
        <is>
          <t>Company</t>
        </is>
      </c>
      <c r="C4" s="7" t="inlineStr">
        <is>
          <t>Year</t>
        </is>
      </c>
      <c r="D4" s="7" t="inlineStr">
        <is>
          <t>Disclosure basis</t>
        </is>
      </c>
      <c r="E4" s="7" t="inlineStr">
        <is>
          <t>Product ($mm)</t>
        </is>
      </c>
      <c r="F4" s="7" t="inlineStr">
        <is>
          <t>Service &amp; other ($mm)</t>
        </is>
      </c>
      <c r="G4" s="7" t="inlineStr">
        <is>
          <t>Royalty ($mm)</t>
        </is>
      </c>
      <c r="H4" s="7" t="inlineStr">
        <is>
          <t>Category sum ($mm)</t>
        </is>
      </c>
      <c r="I4" s="7" t="inlineStr">
        <is>
          <t>Total revenue ($mm)</t>
        </is>
      </c>
      <c r="J4" s="7" t="inlineStr">
        <is>
          <t>Reconciliation ($mm)</t>
        </is>
      </c>
      <c r="K4" s="7" t="inlineStr">
        <is>
          <t>Product %</t>
        </is>
      </c>
      <c r="L4" s="7" t="inlineStr">
        <is>
          <t>Service &amp; other %</t>
        </is>
      </c>
      <c r="M4" s="7" t="inlineStr">
        <is>
          <t>Royalty %</t>
        </is>
      </c>
      <c r="N4" s="7" t="inlineStr">
        <is>
          <t>Disclosure quality</t>
        </is>
      </c>
      <c r="O4" s="7" t="inlineStr">
        <is>
          <t>Source URL</t>
        </is>
      </c>
    </row>
    <row r="5">
      <c r="A5" s="8" t="inlineStr">
        <is>
          <t>A</t>
        </is>
      </c>
      <c r="B5" s="8" t="inlineStr">
        <is>
          <t>Agilent Technologies</t>
        </is>
      </c>
      <c r="C5" s="8" t="n">
        <v>2022</v>
      </c>
      <c r="D5" s="8" t="inlineStr">
        <is>
          <t>Product / Service &amp; other</t>
        </is>
      </c>
      <c r="E5" s="9" t="n">
        <v>5187</v>
      </c>
      <c r="F5" s="9" t="n">
        <v>1661</v>
      </c>
      <c r="G5" s="9" t="n">
        <v>0</v>
      </c>
      <c r="H5" s="10">
        <f>SUM(E5:G5)</f>
        <v/>
      </c>
      <c r="I5" s="17">
        <f>'Total Revenue'!C5</f>
        <v/>
      </c>
      <c r="J5" s="10">
        <f>H5-I5</f>
        <v/>
      </c>
      <c r="K5" s="11">
        <f>IFERROR(E5/I5,0)</f>
        <v/>
      </c>
      <c r="L5" s="11">
        <f>IFERROR(F5/I5,0)</f>
        <v/>
      </c>
      <c r="M5" s="11">
        <f>IFERROR(G5/I5,0)</f>
        <v/>
      </c>
      <c r="N5" s="6" t="inlineStr">
        <is>
          <t>Near-comparable: service is combined with other revenue.</t>
        </is>
      </c>
      <c r="O5" s="12" t="inlineStr">
        <is>
          <t>https://s24.q4cdn.com/305549747/files/doc_financials/2025/ar/A-ARS-10-K-BMK-2025.pdf</t>
        </is>
      </c>
    </row>
    <row r="6">
      <c r="A6" s="8" t="inlineStr">
        <is>
          <t>A</t>
        </is>
      </c>
      <c r="B6" s="8" t="inlineStr">
        <is>
          <t>Agilent Technologies</t>
        </is>
      </c>
      <c r="C6" s="8" t="n">
        <v>2023</v>
      </c>
      <c r="D6" s="8" t="inlineStr">
        <is>
          <t>Product / Service &amp; other</t>
        </is>
      </c>
      <c r="E6" s="9" t="n">
        <v>5051</v>
      </c>
      <c r="F6" s="9" t="n">
        <v>1782</v>
      </c>
      <c r="G6" s="9" t="n">
        <v>0</v>
      </c>
      <c r="H6" s="10">
        <f>SUM(E6:G6)</f>
        <v/>
      </c>
      <c r="I6" s="17">
        <f>'Total Revenue'!D5</f>
        <v/>
      </c>
      <c r="J6" s="10">
        <f>H6-I6</f>
        <v/>
      </c>
      <c r="K6" s="11">
        <f>IFERROR(E6/I6,0)</f>
        <v/>
      </c>
      <c r="L6" s="11">
        <f>IFERROR(F6/I6,0)</f>
        <v/>
      </c>
      <c r="M6" s="11">
        <f>IFERROR(G6/I6,0)</f>
        <v/>
      </c>
      <c r="N6" s="6" t="inlineStr">
        <is>
          <t>Near-comparable: service is combined with other revenue.</t>
        </is>
      </c>
      <c r="O6" s="12" t="inlineStr">
        <is>
          <t>https://s24.q4cdn.com/305549747/files/doc_financials/2025/ar/A-ARS-10-K-BMK-2025.pdf</t>
        </is>
      </c>
    </row>
    <row r="7">
      <c r="A7" s="8" t="inlineStr">
        <is>
          <t>A</t>
        </is>
      </c>
      <c r="B7" s="8" t="inlineStr">
        <is>
          <t>Agilent Technologies</t>
        </is>
      </c>
      <c r="C7" s="8" t="n">
        <v>2024</v>
      </c>
      <c r="D7" s="8" t="inlineStr">
        <is>
          <t>Product / Service &amp; other</t>
        </is>
      </c>
      <c r="E7" s="9" t="n">
        <v>4672</v>
      </c>
      <c r="F7" s="9" t="n">
        <v>1838</v>
      </c>
      <c r="G7" s="9" t="n">
        <v>0</v>
      </c>
      <c r="H7" s="10">
        <f>SUM(E7:G7)</f>
        <v/>
      </c>
      <c r="I7" s="17">
        <f>'Total Revenue'!E5</f>
        <v/>
      </c>
      <c r="J7" s="10">
        <f>H7-I7</f>
        <v/>
      </c>
      <c r="K7" s="11">
        <f>IFERROR(E7/I7,0)</f>
        <v/>
      </c>
      <c r="L7" s="11">
        <f>IFERROR(F7/I7,0)</f>
        <v/>
      </c>
      <c r="M7" s="11">
        <f>IFERROR(G7/I7,0)</f>
        <v/>
      </c>
      <c r="N7" s="6" t="inlineStr">
        <is>
          <t>Near-comparable: service is combined with other revenue.</t>
        </is>
      </c>
      <c r="O7" s="12" t="inlineStr">
        <is>
          <t>https://s24.q4cdn.com/305549747/files/doc_financials/2025/ar/A-ARS-10-K-BMK-2025.pdf</t>
        </is>
      </c>
    </row>
    <row r="8">
      <c r="A8" s="8" t="inlineStr">
        <is>
          <t>A</t>
        </is>
      </c>
      <c r="B8" s="8" t="inlineStr">
        <is>
          <t>Agilent Technologies</t>
        </is>
      </c>
      <c r="C8" s="8" t="n">
        <v>2025</v>
      </c>
      <c r="D8" s="8" t="inlineStr">
        <is>
          <t>Product / Service &amp; other</t>
        </is>
      </c>
      <c r="E8" s="9" t="n">
        <v>4944</v>
      </c>
      <c r="F8" s="9" t="n">
        <v>2004</v>
      </c>
      <c r="G8" s="9" t="n">
        <v>0</v>
      </c>
      <c r="H8" s="10">
        <f>SUM(E8:G8)</f>
        <v/>
      </c>
      <c r="I8" s="17">
        <f>'Total Revenue'!F5</f>
        <v/>
      </c>
      <c r="J8" s="10">
        <f>H8-I8</f>
        <v/>
      </c>
      <c r="K8" s="11">
        <f>IFERROR(E8/I8,0)</f>
        <v/>
      </c>
      <c r="L8" s="11">
        <f>IFERROR(F8/I8,0)</f>
        <v/>
      </c>
      <c r="M8" s="11">
        <f>IFERROR(G8/I8,0)</f>
        <v/>
      </c>
      <c r="N8" s="6" t="inlineStr">
        <is>
          <t>Near-comparable: service is combined with other revenue.</t>
        </is>
      </c>
      <c r="O8" s="12" t="inlineStr">
        <is>
          <t>https://s24.q4cdn.com/305549747/files/doc_financials/2025/ar/A-ARS-10-K-BMK-2025.pdf</t>
        </is>
      </c>
    </row>
    <row r="9">
      <c r="A9" s="8" t="inlineStr">
        <is>
          <t>BRKR</t>
        </is>
      </c>
      <c r="B9" s="8" t="inlineStr">
        <is>
          <t>Bruker</t>
        </is>
      </c>
      <c r="C9" s="8" t="n">
        <v>2022</v>
      </c>
      <c r="D9" s="8" t="inlineStr">
        <is>
          <t>Product / Service &amp; other</t>
        </is>
      </c>
      <c r="E9" s="9" t="n">
        <v>2109.9</v>
      </c>
      <c r="F9" s="9" t="n">
        <v>420.8</v>
      </c>
      <c r="G9" s="9" t="n">
        <v>0</v>
      </c>
      <c r="H9" s="10">
        <f>SUM(E9:G9)</f>
        <v/>
      </c>
      <c r="I9" s="17">
        <f>'Total Revenue'!C7</f>
        <v/>
      </c>
      <c r="J9" s="10">
        <f>H9-I9</f>
        <v/>
      </c>
      <c r="K9" s="11">
        <f>IFERROR(E9/I9,0)</f>
        <v/>
      </c>
      <c r="L9" s="11">
        <f>IFERROR(F9/I9,0)</f>
        <v/>
      </c>
      <c r="M9" s="11">
        <f>IFERROR(G9/I9,0)</f>
        <v/>
      </c>
      <c r="N9" s="6" t="inlineStr">
        <is>
          <t>Near-comparable: service is combined with other revenue.</t>
        </is>
      </c>
      <c r="O9" s="12" t="inlineStr">
        <is>
          <t>https://s22.q4cdn.com/617463959/files/doc_financials/2025/ar/2025-Bruker-Annual-Report.pdf</t>
        </is>
      </c>
    </row>
    <row r="10">
      <c r="A10" s="8" t="inlineStr">
        <is>
          <t>BRKR</t>
        </is>
      </c>
      <c r="B10" s="8" t="inlineStr">
        <is>
          <t>Bruker</t>
        </is>
      </c>
      <c r="C10" s="8" t="n">
        <v>2023</v>
      </c>
      <c r="D10" s="8" t="inlineStr">
        <is>
          <t>Product / Service &amp; other</t>
        </is>
      </c>
      <c r="E10" s="9" t="n">
        <v>2457.6</v>
      </c>
      <c r="F10" s="9" t="n">
        <v>506.9</v>
      </c>
      <c r="G10" s="9" t="n">
        <v>0</v>
      </c>
      <c r="H10" s="10">
        <f>SUM(E10:G10)</f>
        <v/>
      </c>
      <c r="I10" s="17">
        <f>'Total Revenue'!D7</f>
        <v/>
      </c>
      <c r="J10" s="10">
        <f>H10-I10</f>
        <v/>
      </c>
      <c r="K10" s="11">
        <f>IFERROR(E10/I10,0)</f>
        <v/>
      </c>
      <c r="L10" s="11">
        <f>IFERROR(F10/I10,0)</f>
        <v/>
      </c>
      <c r="M10" s="11">
        <f>IFERROR(G10/I10,0)</f>
        <v/>
      </c>
      <c r="N10" s="6" t="inlineStr">
        <is>
          <t>Near-comparable: service is combined with other revenue.</t>
        </is>
      </c>
      <c r="O10" s="12" t="inlineStr">
        <is>
          <t>https://s22.q4cdn.com/617463959/files/doc_financials/2025/ar/2025-Bruker-Annual-Report.pdf</t>
        </is>
      </c>
    </row>
    <row r="11">
      <c r="A11" s="8" t="inlineStr">
        <is>
          <t>BRKR</t>
        </is>
      </c>
      <c r="B11" s="8" t="inlineStr">
        <is>
          <t>Bruker</t>
        </is>
      </c>
      <c r="C11" s="8" t="n">
        <v>2024</v>
      </c>
      <c r="D11" s="8" t="inlineStr">
        <is>
          <t>Product / Service &amp; other</t>
        </is>
      </c>
      <c r="E11" s="9" t="n">
        <v>2759.2</v>
      </c>
      <c r="F11" s="9" t="n">
        <v>607.2</v>
      </c>
      <c r="G11" s="9" t="n">
        <v>0</v>
      </c>
      <c r="H11" s="10">
        <f>SUM(E11:G11)</f>
        <v/>
      </c>
      <c r="I11" s="17">
        <f>'Total Revenue'!E7</f>
        <v/>
      </c>
      <c r="J11" s="10">
        <f>H11-I11</f>
        <v/>
      </c>
      <c r="K11" s="11">
        <f>IFERROR(E11/I11,0)</f>
        <v/>
      </c>
      <c r="L11" s="11">
        <f>IFERROR(F11/I11,0)</f>
        <v/>
      </c>
      <c r="M11" s="11">
        <f>IFERROR(G11/I11,0)</f>
        <v/>
      </c>
      <c r="N11" s="6" t="inlineStr">
        <is>
          <t>Near-comparable: service is combined with other revenue.</t>
        </is>
      </c>
      <c r="O11" s="12" t="inlineStr">
        <is>
          <t>https://s22.q4cdn.com/617463959/files/doc_financials/2025/ar/2025-Bruker-Annual-Report.pdf</t>
        </is>
      </c>
    </row>
    <row r="12">
      <c r="A12" s="8" t="inlineStr">
        <is>
          <t>BRKR</t>
        </is>
      </c>
      <c r="B12" s="8" t="inlineStr">
        <is>
          <t>Bruker</t>
        </is>
      </c>
      <c r="C12" s="8" t="n">
        <v>2025</v>
      </c>
      <c r="D12" s="8" t="inlineStr">
        <is>
          <t>Product / Service &amp; other</t>
        </is>
      </c>
      <c r="E12" s="9" t="n">
        <v>2766.4</v>
      </c>
      <c r="F12" s="9" t="n">
        <v>670.1</v>
      </c>
      <c r="G12" s="9" t="n">
        <v>0</v>
      </c>
      <c r="H12" s="10">
        <f>SUM(E12:G12)</f>
        <v/>
      </c>
      <c r="I12" s="17">
        <f>'Total Revenue'!F7</f>
        <v/>
      </c>
      <c r="J12" s="10">
        <f>H12-I12</f>
        <v/>
      </c>
      <c r="K12" s="11">
        <f>IFERROR(E12/I12,0)</f>
        <v/>
      </c>
      <c r="L12" s="11">
        <f>IFERROR(F12/I12,0)</f>
        <v/>
      </c>
      <c r="M12" s="11">
        <f>IFERROR(G12/I12,0)</f>
        <v/>
      </c>
      <c r="N12" s="6" t="inlineStr">
        <is>
          <t>Near-comparable: service is combined with other revenue.</t>
        </is>
      </c>
      <c r="O12" s="12" t="inlineStr">
        <is>
          <t>https://s22.q4cdn.com/617463959/files/doc_financials/2025/ar/2025-Bruker-Annual-Report.pdf</t>
        </is>
      </c>
    </row>
    <row r="13">
      <c r="A13" s="8" t="inlineStr">
        <is>
          <t>ILMN</t>
        </is>
      </c>
      <c r="B13" s="8" t="inlineStr">
        <is>
          <t>Illumina</t>
        </is>
      </c>
      <c r="C13" s="8" t="n">
        <v>2022</v>
      </c>
      <c r="D13" s="8" t="inlineStr">
        <is>
          <t>Product / Service &amp; other</t>
        </is>
      </c>
      <c r="E13" s="9" t="n">
        <v>3953</v>
      </c>
      <c r="F13" s="9" t="n">
        <v>631</v>
      </c>
      <c r="G13" s="9" t="n">
        <v>0</v>
      </c>
      <c r="H13" s="10">
        <f>SUM(E13:G13)</f>
        <v/>
      </c>
      <c r="I13" s="17">
        <f>'Total Revenue'!C9</f>
        <v/>
      </c>
      <c r="J13" s="10">
        <f>H13-I13</f>
        <v/>
      </c>
      <c r="K13" s="11">
        <f>IFERROR(E13/I13,0)</f>
        <v/>
      </c>
      <c r="L13" s="11">
        <f>IFERROR(F13/I13,0)</f>
        <v/>
      </c>
      <c r="M13" s="11">
        <f>IFERROR(G13/I13,0)</f>
        <v/>
      </c>
      <c r="N13" s="6" t="inlineStr">
        <is>
          <t>Near-comparable: service is combined with other revenue; GRAIL affects 2023 and part of 2024.</t>
        </is>
      </c>
      <c r="O13" s="12" t="inlineStr">
        <is>
          <t>https://www.sec.gov/Archives/edgar/data/1110803/000111080326000024/ilmn-20251228.htm</t>
        </is>
      </c>
    </row>
    <row r="14">
      <c r="A14" s="8" t="inlineStr">
        <is>
          <t>ILMN</t>
        </is>
      </c>
      <c r="B14" s="8" t="inlineStr">
        <is>
          <t>Illumina</t>
        </is>
      </c>
      <c r="C14" s="8" t="n">
        <v>2023</v>
      </c>
      <c r="D14" s="8" t="inlineStr">
        <is>
          <t>Product / Service &amp; other</t>
        </is>
      </c>
      <c r="E14" s="9" t="n">
        <v>3787</v>
      </c>
      <c r="F14" s="9" t="n">
        <v>717</v>
      </c>
      <c r="G14" s="9" t="n">
        <v>0</v>
      </c>
      <c r="H14" s="10">
        <f>SUM(E14:G14)</f>
        <v/>
      </c>
      <c r="I14" s="17">
        <f>'Total Revenue'!D9</f>
        <v/>
      </c>
      <c r="J14" s="10">
        <f>H14-I14</f>
        <v/>
      </c>
      <c r="K14" s="11">
        <f>IFERROR(E14/I14,0)</f>
        <v/>
      </c>
      <c r="L14" s="11">
        <f>IFERROR(F14/I14,0)</f>
        <v/>
      </c>
      <c r="M14" s="11">
        <f>IFERROR(G14/I14,0)</f>
        <v/>
      </c>
      <c r="N14" s="6" t="inlineStr">
        <is>
          <t>Near-comparable: service is combined with other revenue; GRAIL affects 2023 and part of 2024.</t>
        </is>
      </c>
      <c r="O14" s="12" t="inlineStr">
        <is>
          <t>https://www.sec.gov/Archives/edgar/data/1110803/000111080326000024/ilmn-20251228.htm</t>
        </is>
      </c>
    </row>
    <row r="15">
      <c r="A15" s="8" t="inlineStr">
        <is>
          <t>ILMN</t>
        </is>
      </c>
      <c r="B15" s="8" t="inlineStr">
        <is>
          <t>Illumina</t>
        </is>
      </c>
      <c r="C15" s="8" t="n">
        <v>2024</v>
      </c>
      <c r="D15" s="8" t="inlineStr">
        <is>
          <t>Product / Service &amp; other</t>
        </is>
      </c>
      <c r="E15" s="9" t="n">
        <v>3656</v>
      </c>
      <c r="F15" s="9" t="n">
        <v>716</v>
      </c>
      <c r="G15" s="9" t="n">
        <v>0</v>
      </c>
      <c r="H15" s="10">
        <f>SUM(E15:G15)</f>
        <v/>
      </c>
      <c r="I15" s="17">
        <f>'Total Revenue'!E9</f>
        <v/>
      </c>
      <c r="J15" s="10">
        <f>H15-I15</f>
        <v/>
      </c>
      <c r="K15" s="11">
        <f>IFERROR(E15/I15,0)</f>
        <v/>
      </c>
      <c r="L15" s="11">
        <f>IFERROR(F15/I15,0)</f>
        <v/>
      </c>
      <c r="M15" s="11">
        <f>IFERROR(G15/I15,0)</f>
        <v/>
      </c>
      <c r="N15" s="6" t="inlineStr">
        <is>
          <t>Near-comparable: service is combined with other revenue; GRAIL affects 2023 and part of 2024.</t>
        </is>
      </c>
      <c r="O15" s="12" t="inlineStr">
        <is>
          <t>https://www.sec.gov/Archives/edgar/data/1110803/000111080326000024/ilmn-20251228.htm</t>
        </is>
      </c>
    </row>
    <row r="16">
      <c r="A16" s="8" t="inlineStr">
        <is>
          <t>ILMN</t>
        </is>
      </c>
      <c r="B16" s="8" t="inlineStr">
        <is>
          <t>Illumina</t>
        </is>
      </c>
      <c r="C16" s="8" t="n">
        <v>2025</v>
      </c>
      <c r="D16" s="8" t="inlineStr">
        <is>
          <t>Product / Service &amp; other</t>
        </is>
      </c>
      <c r="E16" s="9" t="n">
        <v>3709</v>
      </c>
      <c r="F16" s="9" t="n">
        <v>634</v>
      </c>
      <c r="G16" s="9" t="n">
        <v>0</v>
      </c>
      <c r="H16" s="10">
        <f>SUM(E16:G16)</f>
        <v/>
      </c>
      <c r="I16" s="17">
        <f>'Total Revenue'!F9</f>
        <v/>
      </c>
      <c r="J16" s="10">
        <f>H16-I16</f>
        <v/>
      </c>
      <c r="K16" s="11">
        <f>IFERROR(E16/I16,0)</f>
        <v/>
      </c>
      <c r="L16" s="11">
        <f>IFERROR(F16/I16,0)</f>
        <v/>
      </c>
      <c r="M16" s="11">
        <f>IFERROR(G16/I16,0)</f>
        <v/>
      </c>
      <c r="N16" s="6" t="inlineStr">
        <is>
          <t>Near-comparable: service is combined with other revenue; GRAIL affects 2023 and part of 2024.</t>
        </is>
      </c>
      <c r="O16" s="12" t="inlineStr">
        <is>
          <t>https://www.sec.gov/Archives/edgar/data/1110803/000111080326000024/ilmn-20251228.htm</t>
        </is>
      </c>
    </row>
    <row r="17">
      <c r="A17" s="8" t="inlineStr">
        <is>
          <t>MTD</t>
        </is>
      </c>
      <c r="B17" s="8" t="inlineStr">
        <is>
          <t>Mettler-Toledo</t>
        </is>
      </c>
      <c r="C17" s="8" t="n">
        <v>2022</v>
      </c>
      <c r="D17" s="8" t="inlineStr">
        <is>
          <t>Product / Service</t>
        </is>
      </c>
      <c r="E17" s="9" t="n">
        <v>3118.7</v>
      </c>
      <c r="F17" s="9" t="n">
        <v>801</v>
      </c>
      <c r="G17" s="9" t="n">
        <v>0</v>
      </c>
      <c r="H17" s="10">
        <f>SUM(E17:G17)</f>
        <v/>
      </c>
      <c r="I17" s="17">
        <f>'Total Revenue'!C10</f>
        <v/>
      </c>
      <c r="J17" s="10">
        <f>H17-I17</f>
        <v/>
      </c>
      <c r="K17" s="11">
        <f>IFERROR(E17/I17,0)</f>
        <v/>
      </c>
      <c r="L17" s="11">
        <f>IFERROR(F17/I17,0)</f>
        <v/>
      </c>
      <c r="M17" s="11">
        <f>IFERROR(G17/I17,0)</f>
        <v/>
      </c>
      <c r="N17" s="6" t="inlineStr">
        <is>
          <t>Clean product/service disclosure; small rounding differences may occur.</t>
        </is>
      </c>
      <c r="O17" s="12" t="inlineStr">
        <is>
          <t>https://d18rn0p25nwr6d.cloudfront.net/CIK-0001037646/074ad430-471b-498e-a0f5-1f794b20eeee.pdf</t>
        </is>
      </c>
    </row>
    <row r="18">
      <c r="A18" s="8" t="inlineStr">
        <is>
          <t>MTD</t>
        </is>
      </c>
      <c r="B18" s="8" t="inlineStr">
        <is>
          <t>Mettler-Toledo</t>
        </is>
      </c>
      <c r="C18" s="8" t="n">
        <v>2023</v>
      </c>
      <c r="D18" s="8" t="inlineStr">
        <is>
          <t>Product / Service</t>
        </is>
      </c>
      <c r="E18" s="9" t="n">
        <v>2906.7</v>
      </c>
      <c r="F18" s="9" t="n">
        <v>881.6</v>
      </c>
      <c r="G18" s="9" t="n">
        <v>0</v>
      </c>
      <c r="H18" s="10">
        <f>SUM(E18:G18)</f>
        <v/>
      </c>
      <c r="I18" s="17">
        <f>'Total Revenue'!D10</f>
        <v/>
      </c>
      <c r="J18" s="10">
        <f>H18-I18</f>
        <v/>
      </c>
      <c r="K18" s="11">
        <f>IFERROR(E18/I18,0)</f>
        <v/>
      </c>
      <c r="L18" s="11">
        <f>IFERROR(F18/I18,0)</f>
        <v/>
      </c>
      <c r="M18" s="11">
        <f>IFERROR(G18/I18,0)</f>
        <v/>
      </c>
      <c r="N18" s="6" t="inlineStr">
        <is>
          <t>Clean product/service disclosure; small rounding differences may occur.</t>
        </is>
      </c>
      <c r="O18" s="12" t="inlineStr">
        <is>
          <t>https://d18rn0p25nwr6d.cloudfront.net/CIK-0001037646/074ad430-471b-498e-a0f5-1f794b20eeee.pdf</t>
        </is>
      </c>
    </row>
    <row r="19">
      <c r="A19" s="8" t="inlineStr">
        <is>
          <t>MTD</t>
        </is>
      </c>
      <c r="B19" s="8" t="inlineStr">
        <is>
          <t>Mettler-Toledo</t>
        </is>
      </c>
      <c r="C19" s="8" t="n">
        <v>2024</v>
      </c>
      <c r="D19" s="8" t="inlineStr">
        <is>
          <t>Product / Service</t>
        </is>
      </c>
      <c r="E19" s="9" t="n">
        <v>2930.2</v>
      </c>
      <c r="F19" s="9" t="n">
        <v>942.1</v>
      </c>
      <c r="G19" s="9" t="n">
        <v>0</v>
      </c>
      <c r="H19" s="10">
        <f>SUM(E19:G19)</f>
        <v/>
      </c>
      <c r="I19" s="17">
        <f>'Total Revenue'!E10</f>
        <v/>
      </c>
      <c r="J19" s="10">
        <f>H19-I19</f>
        <v/>
      </c>
      <c r="K19" s="11">
        <f>IFERROR(E19/I19,0)</f>
        <v/>
      </c>
      <c r="L19" s="11">
        <f>IFERROR(F19/I19,0)</f>
        <v/>
      </c>
      <c r="M19" s="11">
        <f>IFERROR(G19/I19,0)</f>
        <v/>
      </c>
      <c r="N19" s="6" t="inlineStr">
        <is>
          <t>Clean product/service disclosure; small rounding differences may occur.</t>
        </is>
      </c>
      <c r="O19" s="12" t="inlineStr">
        <is>
          <t>https://d18rn0p25nwr6d.cloudfront.net/CIK-0001037646/074ad430-471b-498e-a0f5-1f794b20eeee.pdf</t>
        </is>
      </c>
    </row>
    <row r="20">
      <c r="A20" s="8" t="inlineStr">
        <is>
          <t>MTD</t>
        </is>
      </c>
      <c r="B20" s="8" t="inlineStr">
        <is>
          <t>Mettler-Toledo</t>
        </is>
      </c>
      <c r="C20" s="8" t="n">
        <v>2025</v>
      </c>
      <c r="D20" s="8" t="inlineStr">
        <is>
          <t>Product / Service</t>
        </is>
      </c>
      <c r="E20" s="9" t="n">
        <v>3007.8</v>
      </c>
      <c r="F20" s="9" t="n">
        <v>1018.6</v>
      </c>
      <c r="G20" s="9" t="n">
        <v>0</v>
      </c>
      <c r="H20" s="10">
        <f>SUM(E20:G20)</f>
        <v/>
      </c>
      <c r="I20" s="17">
        <f>'Total Revenue'!F10</f>
        <v/>
      </c>
      <c r="J20" s="10">
        <f>H20-I20</f>
        <v/>
      </c>
      <c r="K20" s="11">
        <f>IFERROR(E20/I20,0)</f>
        <v/>
      </c>
      <c r="L20" s="11">
        <f>IFERROR(F20/I20,0)</f>
        <v/>
      </c>
      <c r="M20" s="11">
        <f>IFERROR(G20/I20,0)</f>
        <v/>
      </c>
      <c r="N20" s="6" t="inlineStr">
        <is>
          <t>Clean product/service disclosure; small rounding differences may occur.</t>
        </is>
      </c>
      <c r="O20" s="12" t="inlineStr">
        <is>
          <t>https://d18rn0p25nwr6d.cloudfront.net/CIK-0001037646/074ad430-471b-498e-a0f5-1f794b20eeee.pdf</t>
        </is>
      </c>
    </row>
    <row r="21">
      <c r="A21" s="8" t="inlineStr">
        <is>
          <t>PACB</t>
        </is>
      </c>
      <c r="B21" s="8" t="inlineStr">
        <is>
          <t>Pacific Biosciences</t>
        </is>
      </c>
      <c r="C21" s="8" t="n">
        <v>2022</v>
      </c>
      <c r="D21" s="8" t="inlineStr">
        <is>
          <t>Product / Service &amp; other</t>
        </is>
      </c>
      <c r="E21" s="9" t="n">
        <v>108.7</v>
      </c>
      <c r="F21" s="9" t="n">
        <v>19.6</v>
      </c>
      <c r="G21" s="9" t="n">
        <v>0</v>
      </c>
      <c r="H21" s="10">
        <f>SUM(E21:G21)</f>
        <v/>
      </c>
      <c r="I21" s="17">
        <f>'Total Revenue'!C11</f>
        <v/>
      </c>
      <c r="J21" s="10">
        <f>H21-I21</f>
        <v/>
      </c>
      <c r="K21" s="11">
        <f>IFERROR(E21/I21,0)</f>
        <v/>
      </c>
      <c r="L21" s="11">
        <f>IFERROR(F21/I21,0)</f>
        <v/>
      </c>
      <c r="M21" s="11">
        <f>IFERROR(G21/I21,0)</f>
        <v/>
      </c>
      <c r="N21" s="6" t="inlineStr">
        <is>
          <t>Near-comparable: service is combined with other revenue.</t>
        </is>
      </c>
      <c r="O21" s="12" t="inlineStr">
        <is>
          <t>https://www.sec.gov/Archives/edgar/data/1299130/000129913024000054/pacb-20231231.htm</t>
        </is>
      </c>
    </row>
    <row r="22">
      <c r="A22" s="8" t="inlineStr">
        <is>
          <t>PACB</t>
        </is>
      </c>
      <c r="B22" s="8" t="inlineStr">
        <is>
          <t>Pacific Biosciences</t>
        </is>
      </c>
      <c r="C22" s="8" t="n">
        <v>2023</v>
      </c>
      <c r="D22" s="8" t="inlineStr">
        <is>
          <t>Product / Service &amp; other</t>
        </is>
      </c>
      <c r="E22" s="9" t="n">
        <v>183.9</v>
      </c>
      <c r="F22" s="9" t="n">
        <v>16.6</v>
      </c>
      <c r="G22" s="9" t="n">
        <v>0</v>
      </c>
      <c r="H22" s="10">
        <f>SUM(E22:G22)</f>
        <v/>
      </c>
      <c r="I22" s="17">
        <f>'Total Revenue'!D11</f>
        <v/>
      </c>
      <c r="J22" s="10">
        <f>H22-I22</f>
        <v/>
      </c>
      <c r="K22" s="11">
        <f>IFERROR(E22/I22,0)</f>
        <v/>
      </c>
      <c r="L22" s="11">
        <f>IFERROR(F22/I22,0)</f>
        <v/>
      </c>
      <c r="M22" s="11">
        <f>IFERROR(G22/I22,0)</f>
        <v/>
      </c>
      <c r="N22" s="6" t="inlineStr">
        <is>
          <t>Near-comparable: service is combined with other revenue.</t>
        </is>
      </c>
      <c r="O22" s="12" t="inlineStr">
        <is>
          <t>https://www.sec.gov/Archives/edgar/data/1299130/000129913024000054/pacb-20231231.htm</t>
        </is>
      </c>
    </row>
    <row r="23">
      <c r="A23" s="8" t="inlineStr">
        <is>
          <t>PACB</t>
        </is>
      </c>
      <c r="B23" s="8" t="inlineStr">
        <is>
          <t>Pacific Biosciences</t>
        </is>
      </c>
      <c r="C23" s="8" t="n">
        <v>2024</v>
      </c>
      <c r="D23" s="8" t="inlineStr">
        <is>
          <t>Product / Service &amp; other</t>
        </is>
      </c>
      <c r="E23" s="9" t="n">
        <v>136.1</v>
      </c>
      <c r="F23" s="9" t="n">
        <v>17.9</v>
      </c>
      <c r="G23" s="9" t="n">
        <v>0</v>
      </c>
      <c r="H23" s="10">
        <f>SUM(E23:G23)</f>
        <v/>
      </c>
      <c r="I23" s="17">
        <f>'Total Revenue'!E11</f>
        <v/>
      </c>
      <c r="J23" s="10">
        <f>H23-I23</f>
        <v/>
      </c>
      <c r="K23" s="11">
        <f>IFERROR(E23/I23,0)</f>
        <v/>
      </c>
      <c r="L23" s="11">
        <f>IFERROR(F23/I23,0)</f>
        <v/>
      </c>
      <c r="M23" s="11">
        <f>IFERROR(G23/I23,0)</f>
        <v/>
      </c>
      <c r="N23" s="6" t="inlineStr">
        <is>
          <t>Near-comparable: service is combined with other revenue.</t>
        </is>
      </c>
      <c r="O23" s="12" t="inlineStr">
        <is>
          <t>https://www.sec.gov/Archives/edgar/data/1299130/000129913024000054/pacb-20231231.htm</t>
        </is>
      </c>
    </row>
    <row r="24">
      <c r="A24" s="8" t="inlineStr">
        <is>
          <t>PACB</t>
        </is>
      </c>
      <c r="B24" s="8" t="inlineStr">
        <is>
          <t>Pacific Biosciences</t>
        </is>
      </c>
      <c r="C24" s="8" t="n">
        <v>2025</v>
      </c>
      <c r="D24" s="8" t="inlineStr">
        <is>
          <t>Product / Service &amp; other</t>
        </is>
      </c>
      <c r="E24" s="9" t="n">
        <v>135.8</v>
      </c>
      <c r="F24" s="9" t="n">
        <v>24.2</v>
      </c>
      <c r="G24" s="9" t="n">
        <v>0</v>
      </c>
      <c r="H24" s="10">
        <f>SUM(E24:G24)</f>
        <v/>
      </c>
      <c r="I24" s="17">
        <f>'Total Revenue'!F11</f>
        <v/>
      </c>
      <c r="J24" s="10">
        <f>H24-I24</f>
        <v/>
      </c>
      <c r="K24" s="11">
        <f>IFERROR(E24/I24,0)</f>
        <v/>
      </c>
      <c r="L24" s="11">
        <f>IFERROR(F24/I24,0)</f>
        <v/>
      </c>
      <c r="M24" s="11">
        <f>IFERROR(G24/I24,0)</f>
        <v/>
      </c>
      <c r="N24" s="6" t="inlineStr">
        <is>
          <t>Near-comparable: service is combined with other revenue.</t>
        </is>
      </c>
      <c r="O24" s="12" t="inlineStr">
        <is>
          <t>https://www.sec.gov/Archives/edgar/data/1299130/000129913024000054/pacb-20231231.htm</t>
        </is>
      </c>
    </row>
    <row r="25">
      <c r="A25" s="8" t="inlineStr">
        <is>
          <t>RVTY</t>
        </is>
      </c>
      <c r="B25" s="8" t="inlineStr">
        <is>
          <t>Revvity</t>
        </is>
      </c>
      <c r="C25" s="8" t="n">
        <v>2022</v>
      </c>
      <c r="D25" s="8" t="inlineStr">
        <is>
          <t>Product / Service</t>
        </is>
      </c>
      <c r="E25" s="9" t="n">
        <v>2634.6</v>
      </c>
      <c r="F25" s="9" t="n">
        <v>677.2</v>
      </c>
      <c r="G25" s="9" t="n">
        <v>0</v>
      </c>
      <c r="H25" s="10">
        <f>SUM(E25:G25)</f>
        <v/>
      </c>
      <c r="I25" s="17">
        <f>'Total Revenue'!C13</f>
        <v/>
      </c>
      <c r="J25" s="10">
        <f>H25-I25</f>
        <v/>
      </c>
      <c r="K25" s="11">
        <f>IFERROR(E25/I25,0)</f>
        <v/>
      </c>
      <c r="L25" s="11">
        <f>IFERROR(F25/I25,0)</f>
        <v/>
      </c>
      <c r="M25" s="11">
        <f>IFERROR(G25/I25,0)</f>
        <v/>
      </c>
      <c r="N25" s="6" t="inlineStr">
        <is>
          <t>Clean product/service disclosure.</t>
        </is>
      </c>
      <c r="O25" s="12" t="inlineStr">
        <is>
          <t>https://www.sec.gov/Archives/edgar/data/31791/000003179125000009/revv-20241229.htm</t>
        </is>
      </c>
    </row>
    <row r="26">
      <c r="A26" s="8" t="inlineStr">
        <is>
          <t>RVTY</t>
        </is>
      </c>
      <c r="B26" s="8" t="inlineStr">
        <is>
          <t>Revvity</t>
        </is>
      </c>
      <c r="C26" s="8" t="n">
        <v>2023</v>
      </c>
      <c r="D26" s="8" t="inlineStr">
        <is>
          <t>Product / Service</t>
        </is>
      </c>
      <c r="E26" s="9" t="n">
        <v>2415.9</v>
      </c>
      <c r="F26" s="9" t="n">
        <v>334.7</v>
      </c>
      <c r="G26" s="9" t="n">
        <v>0</v>
      </c>
      <c r="H26" s="10">
        <f>SUM(E26:G26)</f>
        <v/>
      </c>
      <c r="I26" s="17">
        <f>'Total Revenue'!D13</f>
        <v/>
      </c>
      <c r="J26" s="10">
        <f>H26-I26</f>
        <v/>
      </c>
      <c r="K26" s="11">
        <f>IFERROR(E26/I26,0)</f>
        <v/>
      </c>
      <c r="L26" s="11">
        <f>IFERROR(F26/I26,0)</f>
        <v/>
      </c>
      <c r="M26" s="11">
        <f>IFERROR(G26/I26,0)</f>
        <v/>
      </c>
      <c r="N26" s="6" t="inlineStr">
        <is>
          <t>Clean product/service disclosure.</t>
        </is>
      </c>
      <c r="O26" s="12" t="inlineStr">
        <is>
          <t>https://www.sec.gov/Archives/edgar/data/31791/000003179125000009/revv-20241229.htm</t>
        </is>
      </c>
    </row>
    <row r="27">
      <c r="A27" s="8" t="inlineStr">
        <is>
          <t>RVTY</t>
        </is>
      </c>
      <c r="B27" s="8" t="inlineStr">
        <is>
          <t>Revvity</t>
        </is>
      </c>
      <c r="C27" s="8" t="n">
        <v>2024</v>
      </c>
      <c r="D27" s="8" t="inlineStr">
        <is>
          <t>Product / Service</t>
        </is>
      </c>
      <c r="E27" s="9" t="n">
        <v>2338.2</v>
      </c>
      <c r="F27" s="9" t="n">
        <v>416.8</v>
      </c>
      <c r="G27" s="9" t="n">
        <v>0</v>
      </c>
      <c r="H27" s="10">
        <f>SUM(E27:G27)</f>
        <v/>
      </c>
      <c r="I27" s="17">
        <f>'Total Revenue'!E13</f>
        <v/>
      </c>
      <c r="J27" s="10">
        <f>H27-I27</f>
        <v/>
      </c>
      <c r="K27" s="11">
        <f>IFERROR(E27/I27,0)</f>
        <v/>
      </c>
      <c r="L27" s="11">
        <f>IFERROR(F27/I27,0)</f>
        <v/>
      </c>
      <c r="M27" s="11">
        <f>IFERROR(G27/I27,0)</f>
        <v/>
      </c>
      <c r="N27" s="6" t="inlineStr">
        <is>
          <t>Clean product/service disclosure.</t>
        </is>
      </c>
      <c r="O27" s="12" t="inlineStr">
        <is>
          <t>https://www.sec.gov/Archives/edgar/data/31791/000003179125000009/revv-20241229.htm</t>
        </is>
      </c>
    </row>
    <row r="28">
      <c r="A28" s="8" t="inlineStr">
        <is>
          <t>RVTY</t>
        </is>
      </c>
      <c r="B28" s="8" t="inlineStr">
        <is>
          <t>Revvity</t>
        </is>
      </c>
      <c r="C28" s="8" t="n">
        <v>2025</v>
      </c>
      <c r="D28" s="8" t="inlineStr">
        <is>
          <t>Product / Service</t>
        </is>
      </c>
      <c r="E28" s="9" t="n">
        <v>2390</v>
      </c>
      <c r="F28" s="9" t="n">
        <v>466.1</v>
      </c>
      <c r="G28" s="9" t="n">
        <v>0</v>
      </c>
      <c r="H28" s="10">
        <f>SUM(E28:G28)</f>
        <v/>
      </c>
      <c r="I28" s="17">
        <f>'Total Revenue'!F13</f>
        <v/>
      </c>
      <c r="J28" s="10">
        <f>H28-I28</f>
        <v/>
      </c>
      <c r="K28" s="11">
        <f>IFERROR(E28/I28,0)</f>
        <v/>
      </c>
      <c r="L28" s="11">
        <f>IFERROR(F28/I28,0)</f>
        <v/>
      </c>
      <c r="M28" s="11">
        <f>IFERROR(G28/I28,0)</f>
        <v/>
      </c>
      <c r="N28" s="6" t="inlineStr">
        <is>
          <t>Clean product/service disclosure.</t>
        </is>
      </c>
      <c r="O28" s="12" t="inlineStr">
        <is>
          <t>https://www.sec.gov/Archives/edgar/data/31791/000003179125000009/revv-20241229.htm</t>
        </is>
      </c>
    </row>
    <row r="29">
      <c r="A29" s="8" t="inlineStr">
        <is>
          <t>TECH</t>
        </is>
      </c>
      <c r="B29" s="8" t="inlineStr">
        <is>
          <t>Bio-Techne</t>
        </is>
      </c>
      <c r="C29" s="8" t="n">
        <v>2022</v>
      </c>
      <c r="D29" s="8" t="inlineStr">
        <is>
          <t>Product / Service / Royalty</t>
        </is>
      </c>
      <c r="E29" s="9" t="n">
        <v>1011.6</v>
      </c>
      <c r="F29" s="9" t="n">
        <v>72</v>
      </c>
      <c r="G29" s="9" t="n">
        <v>22</v>
      </c>
      <c r="H29" s="10">
        <f>SUM(E29:G29)</f>
        <v/>
      </c>
      <c r="I29" s="17">
        <f>'Total Revenue'!C14</f>
        <v/>
      </c>
      <c r="J29" s="10">
        <f>H29-I29</f>
        <v/>
      </c>
      <c r="K29" s="11">
        <f>IFERROR(E29/I29,0)</f>
        <v/>
      </c>
      <c r="L29" s="11">
        <f>IFERROR(F29/I29,0)</f>
        <v/>
      </c>
      <c r="M29" s="11">
        <f>IFERROR(G29/I29,0)</f>
        <v/>
      </c>
      <c r="N29" s="6" t="inlineStr">
        <is>
          <t>Product calculated as consumables plus instruments; royalty shown separately.</t>
        </is>
      </c>
      <c r="O29" s="12" t="inlineStr">
        <is>
          <t>https://www.sec.gov/Archives/edgar/data/842023/000155837025011716/tech-20250630x10k.htm</t>
        </is>
      </c>
    </row>
    <row r="30">
      <c r="A30" s="8" t="inlineStr">
        <is>
          <t>TECH</t>
        </is>
      </c>
      <c r="B30" s="8" t="inlineStr">
        <is>
          <t>Bio-Techne</t>
        </is>
      </c>
      <c r="C30" s="8" t="n">
        <v>2023</v>
      </c>
      <c r="D30" s="8" t="inlineStr">
        <is>
          <t>Product / Service / Royalty</t>
        </is>
      </c>
      <c r="E30" s="9" t="n">
        <v>1029.8</v>
      </c>
      <c r="F30" s="9" t="n">
        <v>85.8</v>
      </c>
      <c r="G30" s="9" t="n">
        <v>21.1</v>
      </c>
      <c r="H30" s="10">
        <f>SUM(E30:G30)</f>
        <v/>
      </c>
      <c r="I30" s="17">
        <f>'Total Revenue'!D14</f>
        <v/>
      </c>
      <c r="J30" s="10">
        <f>H30-I30</f>
        <v/>
      </c>
      <c r="K30" s="11">
        <f>IFERROR(E30/I30,0)</f>
        <v/>
      </c>
      <c r="L30" s="11">
        <f>IFERROR(F30/I30,0)</f>
        <v/>
      </c>
      <c r="M30" s="11">
        <f>IFERROR(G30/I30,0)</f>
        <v/>
      </c>
      <c r="N30" s="6" t="inlineStr">
        <is>
          <t>Product calculated as consumables plus instruments; royalty shown separately.</t>
        </is>
      </c>
      <c r="O30" s="12" t="inlineStr">
        <is>
          <t>https://www.sec.gov/Archives/edgar/data/842023/000155837025011716/tech-20250630x10k.htm</t>
        </is>
      </c>
    </row>
    <row r="31">
      <c r="A31" s="8" t="inlineStr">
        <is>
          <t>TECH</t>
        </is>
      </c>
      <c r="B31" s="8" t="inlineStr">
        <is>
          <t>Bio-Techne</t>
        </is>
      </c>
      <c r="C31" s="8" t="n">
        <v>2024</v>
      </c>
      <c r="D31" s="8" t="inlineStr">
        <is>
          <t>Product / Service / Royalty</t>
        </is>
      </c>
      <c r="E31" s="9" t="n">
        <v>1036.5</v>
      </c>
      <c r="F31" s="9" t="n">
        <v>99.3</v>
      </c>
      <c r="G31" s="9" t="n">
        <v>23.3</v>
      </c>
      <c r="H31" s="10">
        <f>SUM(E31:G31)</f>
        <v/>
      </c>
      <c r="I31" s="17">
        <f>'Total Revenue'!E14</f>
        <v/>
      </c>
      <c r="J31" s="10">
        <f>H31-I31</f>
        <v/>
      </c>
      <c r="K31" s="11">
        <f>IFERROR(E31/I31,0)</f>
        <v/>
      </c>
      <c r="L31" s="11">
        <f>IFERROR(F31/I31,0)</f>
        <v/>
      </c>
      <c r="M31" s="11">
        <f>IFERROR(G31/I31,0)</f>
        <v/>
      </c>
      <c r="N31" s="6" t="inlineStr">
        <is>
          <t>Product calculated as consumables plus instruments; royalty shown separately.</t>
        </is>
      </c>
      <c r="O31" s="12" t="inlineStr">
        <is>
          <t>https://www.sec.gov/Archives/edgar/data/842023/000155837025011716/tech-20250630x10k.htm</t>
        </is>
      </c>
    </row>
    <row r="32">
      <c r="A32" s="8" t="inlineStr">
        <is>
          <t>TECH</t>
        </is>
      </c>
      <c r="B32" s="8" t="inlineStr">
        <is>
          <t>Bio-Techne</t>
        </is>
      </c>
      <c r="C32" s="8" t="n">
        <v>2025</v>
      </c>
      <c r="D32" s="8" t="inlineStr">
        <is>
          <t>Product / Service / Royalty</t>
        </is>
      </c>
      <c r="E32" s="9" t="n">
        <v>1084.4</v>
      </c>
      <c r="F32" s="9" t="n">
        <v>111.6</v>
      </c>
      <c r="G32" s="9" t="n">
        <v>23.7</v>
      </c>
      <c r="H32" s="10">
        <f>SUM(E32:G32)</f>
        <v/>
      </c>
      <c r="I32" s="17">
        <f>'Total Revenue'!F14</f>
        <v/>
      </c>
      <c r="J32" s="10">
        <f>H32-I32</f>
        <v/>
      </c>
      <c r="K32" s="11">
        <f>IFERROR(E32/I32,0)</f>
        <v/>
      </c>
      <c r="L32" s="11">
        <f>IFERROR(F32/I32,0)</f>
        <v/>
      </c>
      <c r="M32" s="11">
        <f>IFERROR(G32/I32,0)</f>
        <v/>
      </c>
      <c r="N32" s="6" t="inlineStr">
        <is>
          <t>Product calculated as consumables plus instruments; royalty shown separately.</t>
        </is>
      </c>
      <c r="O32" s="12" t="inlineStr">
        <is>
          <t>https://www.sec.gov/Archives/edgar/data/842023/000155837025011716/tech-20250630x10k.htm</t>
        </is>
      </c>
    </row>
    <row r="33">
      <c r="A33" s="8" t="inlineStr">
        <is>
          <t>TMO</t>
        </is>
      </c>
      <c r="B33" s="8" t="inlineStr">
        <is>
          <t>Thermo Fisher Scientific</t>
        </is>
      </c>
      <c r="C33" s="8" t="n">
        <v>2022</v>
      </c>
      <c r="D33" s="8" t="inlineStr">
        <is>
          <t>Product / Service</t>
        </is>
      </c>
      <c r="E33" s="9" t="n">
        <v>28548</v>
      </c>
      <c r="F33" s="9" t="n">
        <v>16367</v>
      </c>
      <c r="G33" s="9" t="n">
        <v>0</v>
      </c>
      <c r="H33" s="10">
        <f>SUM(E33:G33)</f>
        <v/>
      </c>
      <c r="I33" s="17">
        <f>'Total Revenue'!C15</f>
        <v/>
      </c>
      <c r="J33" s="10">
        <f>H33-I33</f>
        <v/>
      </c>
      <c r="K33" s="11">
        <f>IFERROR(E33/I33,0)</f>
        <v/>
      </c>
      <c r="L33" s="11">
        <f>IFERROR(F33/I33,0)</f>
        <v/>
      </c>
      <c r="M33" s="11">
        <f>IFERROR(G33/I33,0)</f>
        <v/>
      </c>
      <c r="N33" s="6" t="inlineStr">
        <is>
          <t>Clean product/service disclosure; rounded component values can differ from total revenue by up to $1mm.</t>
        </is>
      </c>
      <c r="O33" s="21" t="inlineStr">
        <is>
          <t>https://www.sec.gov/Archives/edgar/data/97745/000009774526000018/tmo-20251231.htm</t>
        </is>
      </c>
    </row>
    <row r="34">
      <c r="A34" s="8" t="inlineStr">
        <is>
          <t>TMO</t>
        </is>
      </c>
      <c r="B34" s="8" t="inlineStr">
        <is>
          <t>Thermo Fisher Scientific</t>
        </is>
      </c>
      <c r="C34" s="8" t="n">
        <v>2023</v>
      </c>
      <c r="D34" s="8" t="inlineStr">
        <is>
          <t>Product / Service</t>
        </is>
      </c>
      <c r="E34" s="9" t="n">
        <v>25243</v>
      </c>
      <c r="F34" s="9" t="n">
        <v>17614</v>
      </c>
      <c r="G34" s="9" t="n">
        <v>0</v>
      </c>
      <c r="H34" s="10">
        <f>SUM(E34:G34)</f>
        <v/>
      </c>
      <c r="I34" s="17">
        <f>'Total Revenue'!D15</f>
        <v/>
      </c>
      <c r="J34" s="10">
        <f>H34-I34</f>
        <v/>
      </c>
      <c r="K34" s="11">
        <f>IFERROR(E34/I34,0)</f>
        <v/>
      </c>
      <c r="L34" s="11">
        <f>IFERROR(F34/I34,0)</f>
        <v/>
      </c>
      <c r="M34" s="11">
        <f>IFERROR(G34/I34,0)</f>
        <v/>
      </c>
      <c r="N34" s="6" t="inlineStr">
        <is>
          <t>Clean product/service disclosure; rounded component values can differ from total revenue by up to $1mm.</t>
        </is>
      </c>
      <c r="O34" s="21" t="inlineStr">
        <is>
          <t>https://www.sec.gov/Archives/edgar/data/97745/000009774526000018/tmo-20251231.htm</t>
        </is>
      </c>
    </row>
    <row r="35">
      <c r="A35" s="8" t="inlineStr">
        <is>
          <t>TMO</t>
        </is>
      </c>
      <c r="B35" s="8" t="inlineStr">
        <is>
          <t>Thermo Fisher Scientific</t>
        </is>
      </c>
      <c r="C35" s="8" t="n">
        <v>2024</v>
      </c>
      <c r="D35" s="8" t="inlineStr">
        <is>
          <t>Product / Service</t>
        </is>
      </c>
      <c r="E35" s="9" t="n">
        <v>25034</v>
      </c>
      <c r="F35" s="9" t="n">
        <v>17845</v>
      </c>
      <c r="G35" s="9" t="n">
        <v>0</v>
      </c>
      <c r="H35" s="10">
        <f>SUM(E35:G35)</f>
        <v/>
      </c>
      <c r="I35" s="17">
        <f>'Total Revenue'!E15</f>
        <v/>
      </c>
      <c r="J35" s="10">
        <f>H35-I35</f>
        <v/>
      </c>
      <c r="K35" s="11">
        <f>IFERROR(E35/I35,0)</f>
        <v/>
      </c>
      <c r="L35" s="11">
        <f>IFERROR(F35/I35,0)</f>
        <v/>
      </c>
      <c r="M35" s="11">
        <f>IFERROR(G35/I35,0)</f>
        <v/>
      </c>
      <c r="N35" s="6" t="inlineStr">
        <is>
          <t>Clean product/service disclosure; rounded component values can differ from total revenue by up to $1mm.</t>
        </is>
      </c>
      <c r="O35" s="21" t="inlineStr">
        <is>
          <t>https://www.sec.gov/Archives/edgar/data/97745/000009774526000018/tmo-20251231.htm</t>
        </is>
      </c>
    </row>
    <row r="36">
      <c r="A36" s="8" t="inlineStr">
        <is>
          <t>TMO</t>
        </is>
      </c>
      <c r="B36" s="8" t="inlineStr">
        <is>
          <t>Thermo Fisher Scientific</t>
        </is>
      </c>
      <c r="C36" s="8" t="n">
        <v>2025</v>
      </c>
      <c r="D36" s="8" t="inlineStr">
        <is>
          <t>Product / Service</t>
        </is>
      </c>
      <c r="E36" s="9" t="n">
        <v>25965</v>
      </c>
      <c r="F36" s="9" t="n">
        <v>18592</v>
      </c>
      <c r="G36" s="9" t="n">
        <v>0</v>
      </c>
      <c r="H36" s="10">
        <f>SUM(E36:G36)</f>
        <v/>
      </c>
      <c r="I36" s="17">
        <f>'Total Revenue'!F15</f>
        <v/>
      </c>
      <c r="J36" s="10">
        <f>H36-I36</f>
        <v/>
      </c>
      <c r="K36" s="11">
        <f>IFERROR(E36/I36,0)</f>
        <v/>
      </c>
      <c r="L36" s="11">
        <f>IFERROR(F36/I36,0)</f>
        <v/>
      </c>
      <c r="M36" s="11">
        <f>IFERROR(G36/I36,0)</f>
        <v/>
      </c>
      <c r="N36" s="6" t="inlineStr">
        <is>
          <t>Clean product/service disclosure; rounded component values can differ from total revenue by up to $1mm.</t>
        </is>
      </c>
      <c r="O36" s="21" t="inlineStr">
        <is>
          <t>https://www.sec.gov/Archives/edgar/data/97745/000009774526000018/tmo-20251231.htm</t>
        </is>
      </c>
    </row>
    <row r="37">
      <c r="A37" s="8" t="inlineStr">
        <is>
          <t>WAT</t>
        </is>
      </c>
      <c r="B37" s="8" t="inlineStr">
        <is>
          <t>Waters</t>
        </is>
      </c>
      <c r="C37" s="8" t="n">
        <v>2022</v>
      </c>
      <c r="D37" s="8" t="inlineStr">
        <is>
          <t>Product / Service</t>
        </is>
      </c>
      <c r="E37" s="9" t="n">
        <v>1988.2</v>
      </c>
      <c r="F37" s="9" t="n">
        <v>983.8</v>
      </c>
      <c r="G37" s="9" t="n">
        <v>0</v>
      </c>
      <c r="H37" s="10">
        <f>SUM(E37:G37)</f>
        <v/>
      </c>
      <c r="I37" s="17">
        <f>'Total Revenue'!C16</f>
        <v/>
      </c>
      <c r="J37" s="10">
        <f>H37-I37</f>
        <v/>
      </c>
      <c r="K37" s="11">
        <f>IFERROR(E37/I37,0)</f>
        <v/>
      </c>
      <c r="L37" s="11">
        <f>IFERROR(F37/I37,0)</f>
        <v/>
      </c>
      <c r="M37" s="11">
        <f>IFERROR(G37/I37,0)</f>
        <v/>
      </c>
      <c r="N37" s="6" t="inlineStr">
        <is>
          <t>Clean product/service disclosure.</t>
        </is>
      </c>
      <c r="O37" s="12" t="inlineStr">
        <is>
          <t>https://www.sec.gov/Archives/edgar/data/1000697/000119312525034579/d791800d10k.htm</t>
        </is>
      </c>
    </row>
    <row r="38">
      <c r="A38" s="8" t="inlineStr">
        <is>
          <t>WAT</t>
        </is>
      </c>
      <c r="B38" s="8" t="inlineStr">
        <is>
          <t>Waters</t>
        </is>
      </c>
      <c r="C38" s="8" t="n">
        <v>2023</v>
      </c>
      <c r="D38" s="8" t="inlineStr">
        <is>
          <t>Product / Service</t>
        </is>
      </c>
      <c r="E38" s="9" t="n">
        <v>1903.1</v>
      </c>
      <c r="F38" s="9" t="n">
        <v>1053.4</v>
      </c>
      <c r="G38" s="9" t="n">
        <v>0</v>
      </c>
      <c r="H38" s="10">
        <f>SUM(E38:G38)</f>
        <v/>
      </c>
      <c r="I38" s="17">
        <f>'Total Revenue'!D16</f>
        <v/>
      </c>
      <c r="J38" s="10">
        <f>H38-I38</f>
        <v/>
      </c>
      <c r="K38" s="11">
        <f>IFERROR(E38/I38,0)</f>
        <v/>
      </c>
      <c r="L38" s="11">
        <f>IFERROR(F38/I38,0)</f>
        <v/>
      </c>
      <c r="M38" s="11">
        <f>IFERROR(G38/I38,0)</f>
        <v/>
      </c>
      <c r="N38" s="6" t="inlineStr">
        <is>
          <t>Clean product/service disclosure.</t>
        </is>
      </c>
      <c r="O38" s="12" t="inlineStr">
        <is>
          <t>https://www.sec.gov/Archives/edgar/data/1000697/000119312525034579/d791800d10k.htm</t>
        </is>
      </c>
    </row>
    <row r="39">
      <c r="A39" s="8" t="inlineStr">
        <is>
          <t>WAT</t>
        </is>
      </c>
      <c r="B39" s="8" t="inlineStr">
        <is>
          <t>Waters</t>
        </is>
      </c>
      <c r="C39" s="8" t="n">
        <v>2024</v>
      </c>
      <c r="D39" s="8" t="inlineStr">
        <is>
          <t>Product / Service</t>
        </is>
      </c>
      <c r="E39" s="9" t="n">
        <v>1844.2</v>
      </c>
      <c r="F39" s="9" t="n">
        <v>1114.2</v>
      </c>
      <c r="G39" s="9" t="n">
        <v>0</v>
      </c>
      <c r="H39" s="10">
        <f>SUM(E39:G39)</f>
        <v/>
      </c>
      <c r="I39" s="17">
        <f>'Total Revenue'!E16</f>
        <v/>
      </c>
      <c r="J39" s="10">
        <f>H39-I39</f>
        <v/>
      </c>
      <c r="K39" s="11">
        <f>IFERROR(E39/I39,0)</f>
        <v/>
      </c>
      <c r="L39" s="11">
        <f>IFERROR(F39/I39,0)</f>
        <v/>
      </c>
      <c r="M39" s="11">
        <f>IFERROR(G39/I39,0)</f>
        <v/>
      </c>
      <c r="N39" s="6" t="inlineStr">
        <is>
          <t>Clean product/service disclosure.</t>
        </is>
      </c>
      <c r="O39" s="12" t="inlineStr">
        <is>
          <t>https://www.sec.gov/Archives/edgar/data/1000697/000119312525034579/d791800d10k.htm</t>
        </is>
      </c>
    </row>
    <row r="40">
      <c r="A40" s="8" t="inlineStr">
        <is>
          <t>WAT</t>
        </is>
      </c>
      <c r="B40" s="8" t="inlineStr">
        <is>
          <t>Waters</t>
        </is>
      </c>
      <c r="C40" s="8" t="n">
        <v>2025</v>
      </c>
      <c r="D40" s="8" t="inlineStr">
        <is>
          <t>Product / Service</t>
        </is>
      </c>
      <c r="E40" s="9" t="n">
        <v>1977.1</v>
      </c>
      <c r="F40" s="9" t="n">
        <v>1188.2</v>
      </c>
      <c r="G40" s="9" t="n">
        <v>0</v>
      </c>
      <c r="H40" s="10">
        <f>SUM(E40:G40)</f>
        <v/>
      </c>
      <c r="I40" s="17">
        <f>'Total Revenue'!F16</f>
        <v/>
      </c>
      <c r="J40" s="10">
        <f>H40-I40</f>
        <v/>
      </c>
      <c r="K40" s="11">
        <f>IFERROR(E40/I40,0)</f>
        <v/>
      </c>
      <c r="L40" s="11">
        <f>IFERROR(F40/I40,0)</f>
        <v/>
      </c>
      <c r="M40" s="11">
        <f>IFERROR(G40/I40,0)</f>
        <v/>
      </c>
      <c r="N40" s="6" t="inlineStr">
        <is>
          <t>Clean product/service disclosure.</t>
        </is>
      </c>
      <c r="O40" s="12" t="inlineStr">
        <is>
          <t>https://www.sec.gov/Archives/edgar/data/1000697/000119312525034579/d791800d10k.htm</t>
        </is>
      </c>
    </row>
  </sheetData>
  <autoFilter ref="A4:O40"/>
  <mergeCells count="2">
    <mergeCell ref="A1:O1"/>
    <mergeCell ref="A2:O2"/>
  </mergeCells>
  <conditionalFormatting sqref="J5:J40">
    <cfRule type="colorScale" priority="1">
      <colorScale>
        <cfvo type="num" val="-0.2"/>
        <cfvo type="num" val="0"/>
        <cfvo type="num" val="0.2"/>
        <color rgb="00F8696B"/>
        <color rgb="00FFEB84"/>
        <color rgb="0063BE7B"/>
      </colorScale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  <hyperlink xmlns:r="http://schemas.openxmlformats.org/officeDocument/2006/relationships" ref="O15" r:id="rId11"/>
    <hyperlink xmlns:r="http://schemas.openxmlformats.org/officeDocument/2006/relationships" ref="O16" r:id="rId12"/>
    <hyperlink xmlns:r="http://schemas.openxmlformats.org/officeDocument/2006/relationships" ref="O17" r:id="rId13"/>
    <hyperlink xmlns:r="http://schemas.openxmlformats.org/officeDocument/2006/relationships" ref="O18" r:id="rId14"/>
    <hyperlink xmlns:r="http://schemas.openxmlformats.org/officeDocument/2006/relationships" ref="O19" r:id="rId15"/>
    <hyperlink xmlns:r="http://schemas.openxmlformats.org/officeDocument/2006/relationships" ref="O20" r:id="rId16"/>
    <hyperlink xmlns:r="http://schemas.openxmlformats.org/officeDocument/2006/relationships" ref="O21" r:id="rId17"/>
    <hyperlink xmlns:r="http://schemas.openxmlformats.org/officeDocument/2006/relationships" ref="O22" r:id="rId18"/>
    <hyperlink xmlns:r="http://schemas.openxmlformats.org/officeDocument/2006/relationships" ref="O23" r:id="rId19"/>
    <hyperlink xmlns:r="http://schemas.openxmlformats.org/officeDocument/2006/relationships" ref="O24" r:id="rId20"/>
    <hyperlink xmlns:r="http://schemas.openxmlformats.org/officeDocument/2006/relationships" ref="O25" r:id="rId21"/>
    <hyperlink xmlns:r="http://schemas.openxmlformats.org/officeDocument/2006/relationships" ref="O26" r:id="rId22"/>
    <hyperlink xmlns:r="http://schemas.openxmlformats.org/officeDocument/2006/relationships" ref="O27" r:id="rId23"/>
    <hyperlink xmlns:r="http://schemas.openxmlformats.org/officeDocument/2006/relationships" ref="O28" r:id="rId24"/>
    <hyperlink xmlns:r="http://schemas.openxmlformats.org/officeDocument/2006/relationships" ref="O29" r:id="rId25"/>
    <hyperlink xmlns:r="http://schemas.openxmlformats.org/officeDocument/2006/relationships" ref="O30" r:id="rId26"/>
    <hyperlink xmlns:r="http://schemas.openxmlformats.org/officeDocument/2006/relationships" ref="O31" r:id="rId27"/>
    <hyperlink xmlns:r="http://schemas.openxmlformats.org/officeDocument/2006/relationships" ref="O32" r:id="rId28"/>
    <hyperlink xmlns:r="http://schemas.openxmlformats.org/officeDocument/2006/relationships" ref="O33" r:id="rId29"/>
    <hyperlink xmlns:r="http://schemas.openxmlformats.org/officeDocument/2006/relationships" ref="O34" r:id="rId30"/>
    <hyperlink xmlns:r="http://schemas.openxmlformats.org/officeDocument/2006/relationships" ref="O35" r:id="rId31"/>
    <hyperlink xmlns:r="http://schemas.openxmlformats.org/officeDocument/2006/relationships" ref="O36" r:id="rId32"/>
    <hyperlink xmlns:r="http://schemas.openxmlformats.org/officeDocument/2006/relationships" ref="O37" r:id="rId33"/>
    <hyperlink xmlns:r="http://schemas.openxmlformats.org/officeDocument/2006/relationships" ref="O38" r:id="rId34"/>
    <hyperlink xmlns:r="http://schemas.openxmlformats.org/officeDocument/2006/relationships" ref="O39" r:id="rId35"/>
    <hyperlink xmlns:r="http://schemas.openxmlformats.org/officeDocument/2006/relationships" ref="O40" r:id="rId36"/>
  </hyperlinks>
  <pageMargins left="0.25" right="0.25" top="0.5" bottom="0.5" header="0.5" footer="0.5"/>
  <pageSetup fitToHeight="0" fitToWidth="1"/>
  <legacyDrawing xmlns:r="http://schemas.openxmlformats.org/officeDocument/2006/relationships" r:id="anysvml"/>
  <tableParts count="1">
    <tablePart xmlns:r="http://schemas.openxmlformats.org/officeDocument/2006/relationships" r:id="rId37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16"/>
  <sheetViews>
    <sheetView showGridLines="0" workbookViewId="0">
      <pane xSplit="5" ySplit="4" topLeftCell="F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25" customWidth="1" min="2" max="2"/>
    <col width="9" customWidth="1" min="3" max="3"/>
    <col width="33" customWidth="1" min="4" max="4"/>
    <col width="23" customWidth="1" min="5" max="5"/>
    <col width="20" customWidth="1" min="6" max="6"/>
    <col width="23" customWidth="1" min="7" max="7"/>
    <col width="20" customWidth="1" min="8" max="8"/>
    <col width="15" customWidth="1" min="9" max="9"/>
    <col width="18" customWidth="1" min="10" max="10"/>
    <col width="18" customWidth="1" min="11" max="11"/>
    <col width="17" customWidth="1" min="12" max="12"/>
    <col width="18" customWidth="1" min="13" max="13"/>
    <col width="65" customWidth="1" min="14" max="14"/>
  </cols>
  <sheetData>
    <row r="1" ht="26" customHeight="1">
      <c r="A1" s="1" t="inlineStr">
        <is>
          <t>Alternative Revenue Breakdowns (Not Clean Product/Service)</t>
        </is>
      </c>
    </row>
    <row r="2" ht="30" customHeight="1">
      <c r="A2" s="2" t="inlineStr">
        <is>
          <t>Useful company disclosures that must retain their original definitions. USD millions.</t>
        </is>
      </c>
    </row>
    <row r="4">
      <c r="A4" s="18" t="inlineStr">
        <is>
          <t>Ticker</t>
        </is>
      </c>
      <c r="B4" s="18" t="inlineStr">
        <is>
          <t>Company</t>
        </is>
      </c>
      <c r="C4" s="18" t="inlineStr">
        <is>
          <t>Year</t>
        </is>
      </c>
      <c r="D4" s="18" t="inlineStr">
        <is>
          <t>Disclosure basis</t>
        </is>
      </c>
      <c r="E4" s="18" t="inlineStr">
        <is>
          <t>Category 1</t>
        </is>
      </c>
      <c r="F4" s="18" t="inlineStr">
        <is>
          <t>Category 1 Revenue ($mm)</t>
        </is>
      </c>
      <c r="G4" s="18" t="inlineStr">
        <is>
          <t>Category 2</t>
        </is>
      </c>
      <c r="H4" s="18" t="inlineStr">
        <is>
          <t>Category 2 Revenue ($mm)</t>
        </is>
      </c>
      <c r="I4" s="18" t="inlineStr">
        <is>
          <t>Category 3</t>
        </is>
      </c>
      <c r="J4" s="18" t="inlineStr">
        <is>
          <t>Category 3 Revenue ($mm)</t>
        </is>
      </c>
      <c r="K4" s="18" t="inlineStr">
        <is>
          <t>Category sum ($mm)</t>
        </is>
      </c>
      <c r="L4" s="18" t="inlineStr">
        <is>
          <t>Total revenue ($mm)</t>
        </is>
      </c>
      <c r="M4" s="18" t="inlineStr">
        <is>
          <t>Reconciliation ($mm)</t>
        </is>
      </c>
      <c r="N4" s="18" t="inlineStr">
        <is>
          <t>Interpretation note</t>
        </is>
      </c>
    </row>
    <row r="5">
      <c r="A5" s="8" t="inlineStr">
        <is>
          <t>BIO</t>
        </is>
      </c>
      <c r="B5" s="8" t="inlineStr">
        <is>
          <t>Bio-Rad Laboratories</t>
        </is>
      </c>
      <c r="C5" s="8" t="n">
        <v>2022</v>
      </c>
      <c r="D5" s="8" t="inlineStr">
        <is>
          <t>Life Science / Clinical Diagnostics / Other</t>
        </is>
      </c>
      <c r="E5" s="8" t="inlineStr">
        <is>
          <t>Life Science</t>
        </is>
      </c>
      <c r="F5" s="9" t="n">
        <v>1347.2</v>
      </c>
      <c r="G5" s="8" t="inlineStr">
        <is>
          <t>Clinical Diagnostics</t>
        </is>
      </c>
      <c r="H5" s="9" t="n">
        <v>1451</v>
      </c>
      <c r="I5" s="8" t="inlineStr">
        <is>
          <t>Other</t>
        </is>
      </c>
      <c r="J5" s="9" t="n">
        <v>4</v>
      </c>
      <c r="K5" s="10">
        <f>SUM(F5,H5,J5)</f>
        <v/>
      </c>
      <c r="L5" s="17">
        <f>'Total Revenue'!C6</f>
        <v/>
      </c>
      <c r="M5" s="10">
        <f>K5-L5</f>
        <v/>
      </c>
      <c r="N5" s="6" t="inlineStr">
        <is>
          <t>Segment split only. Bio-Rad says quantitative revenue by individual products/services is impractical.</t>
        </is>
      </c>
    </row>
    <row r="6">
      <c r="A6" s="8" t="inlineStr">
        <is>
          <t>BIO</t>
        </is>
      </c>
      <c r="B6" s="8" t="inlineStr">
        <is>
          <t>Bio-Rad Laboratories</t>
        </is>
      </c>
      <c r="C6" s="8" t="n">
        <v>2023</v>
      </c>
      <c r="D6" s="8" t="inlineStr">
        <is>
          <t>Life Science / Clinical Diagnostics / Other</t>
        </is>
      </c>
      <c r="E6" s="8" t="inlineStr">
        <is>
          <t>Life Science</t>
        </is>
      </c>
      <c r="F6" s="9" t="n">
        <v>1178.4</v>
      </c>
      <c r="G6" s="8" t="inlineStr">
        <is>
          <t>Clinical Diagnostics</t>
        </is>
      </c>
      <c r="H6" s="9" t="n">
        <v>1489.3</v>
      </c>
      <c r="I6" s="8" t="inlineStr">
        <is>
          <t>Other</t>
        </is>
      </c>
      <c r="J6" s="9" t="n">
        <v>3.5</v>
      </c>
      <c r="K6" s="10">
        <f>SUM(F6,H6,J6)</f>
        <v/>
      </c>
      <c r="L6" s="17">
        <f>'Total Revenue'!D6</f>
        <v/>
      </c>
      <c r="M6" s="10">
        <f>K6-L6</f>
        <v/>
      </c>
      <c r="N6" s="6" t="inlineStr">
        <is>
          <t>Segment split only. Bio-Rad says quantitative revenue by individual products/services is impractical.</t>
        </is>
      </c>
    </row>
    <row r="7">
      <c r="A7" s="8" t="inlineStr">
        <is>
          <t>BIO</t>
        </is>
      </c>
      <c r="B7" s="8" t="inlineStr">
        <is>
          <t>Bio-Rad Laboratories</t>
        </is>
      </c>
      <c r="C7" s="8" t="n">
        <v>2024</v>
      </c>
      <c r="D7" s="8" t="inlineStr">
        <is>
          <t>Life Science / Clinical Diagnostics / Other</t>
        </is>
      </c>
      <c r="E7" s="8" t="inlineStr">
        <is>
          <t>Life Science</t>
        </is>
      </c>
      <c r="F7" s="9" t="n">
        <v>1028.1</v>
      </c>
      <c r="G7" s="8" t="inlineStr">
        <is>
          <t>Clinical Diagnostics</t>
        </is>
      </c>
      <c r="H7" s="9" t="n">
        <v>1537.9</v>
      </c>
      <c r="I7" s="8" t="inlineStr">
        <is>
          <t>Other</t>
        </is>
      </c>
      <c r="J7" s="9" t="n">
        <v>0.5</v>
      </c>
      <c r="K7" s="10">
        <f>SUM(F7,H7,J7)</f>
        <v/>
      </c>
      <c r="L7" s="17">
        <f>'Total Revenue'!E6</f>
        <v/>
      </c>
      <c r="M7" s="10">
        <f>K7-L7</f>
        <v/>
      </c>
      <c r="N7" s="6" t="inlineStr">
        <is>
          <t>Segment split only. Bio-Rad says quantitative revenue by individual products/services is impractical.</t>
        </is>
      </c>
    </row>
    <row r="8">
      <c r="A8" s="8" t="inlineStr">
        <is>
          <t>BIO</t>
        </is>
      </c>
      <c r="B8" s="8" t="inlineStr">
        <is>
          <t>Bio-Rad Laboratories</t>
        </is>
      </c>
      <c r="C8" s="8" t="n">
        <v>2025</v>
      </c>
      <c r="D8" s="8" t="inlineStr">
        <is>
          <t>Life Science / Clinical Diagnostics / Other</t>
        </is>
      </c>
      <c r="E8" s="8" t="inlineStr">
        <is>
          <t>Life Science</t>
        </is>
      </c>
      <c r="F8" s="9" t="n">
        <v>1021.1</v>
      </c>
      <c r="G8" s="8" t="inlineStr">
        <is>
          <t>Clinical Diagnostics</t>
        </is>
      </c>
      <c r="H8" s="9" t="n">
        <v>1562.1</v>
      </c>
      <c r="I8" s="8" t="inlineStr">
        <is>
          <t>Other</t>
        </is>
      </c>
      <c r="J8" s="9" t="n">
        <v>0</v>
      </c>
      <c r="K8" s="10">
        <f>SUM(F8,H8,J8)</f>
        <v/>
      </c>
      <c r="L8" s="17">
        <f>'Total Revenue'!F6</f>
        <v/>
      </c>
      <c r="M8" s="10">
        <f>K8-L8</f>
        <v/>
      </c>
      <c r="N8" s="6" t="inlineStr">
        <is>
          <t>Segment split only. Bio-Rad says quantitative revenue by individual products/services is impractical.</t>
        </is>
      </c>
    </row>
    <row r="9">
      <c r="A9" s="8" t="inlineStr">
        <is>
          <t>DHR</t>
        </is>
      </c>
      <c r="B9" s="8" t="inlineStr">
        <is>
          <t>Danaher</t>
        </is>
      </c>
      <c r="C9" s="8" t="n">
        <v>2022</v>
      </c>
      <c r="D9" s="8" t="inlineStr">
        <is>
          <t>Recurring / Nonrecurring</t>
        </is>
      </c>
      <c r="E9" s="8" t="inlineStr">
        <is>
          <t>Recurring</t>
        </is>
      </c>
      <c r="F9" s="9" t="n">
        <v>20876</v>
      </c>
      <c r="G9" s="8" t="inlineStr">
        <is>
          <t>Nonrecurring</t>
        </is>
      </c>
      <c r="H9" s="9" t="n">
        <v>5767</v>
      </c>
      <c r="I9" s="8" t="inlineStr">
        <is>
          <t>Other</t>
        </is>
      </c>
      <c r="J9" s="9" t="n">
        <v>0</v>
      </c>
      <c r="K9" s="10">
        <f>SUM(F9,H9,J9)</f>
        <v/>
      </c>
      <c r="L9" s="17">
        <f>'Total Revenue'!C8</f>
        <v/>
      </c>
      <c r="M9" s="10">
        <f>K9-L9</f>
        <v/>
      </c>
      <c r="N9" s="6" t="inlineStr">
        <is>
          <t>Proxy only. Recurring includes consumables, services and over-time software; nonrecurring includes equipment and point-in-time software.</t>
        </is>
      </c>
    </row>
    <row r="10">
      <c r="A10" s="8" t="inlineStr">
        <is>
          <t>DHR</t>
        </is>
      </c>
      <c r="B10" s="8" t="inlineStr">
        <is>
          <t>Danaher</t>
        </is>
      </c>
      <c r="C10" s="8" t="n">
        <v>2023</v>
      </c>
      <c r="D10" s="8" t="inlineStr">
        <is>
          <t>Recurring / Nonrecurring</t>
        </is>
      </c>
      <c r="E10" s="8" t="inlineStr">
        <is>
          <t>Recurring</t>
        </is>
      </c>
      <c r="F10" s="9" t="n">
        <v>18682</v>
      </c>
      <c r="G10" s="8" t="inlineStr">
        <is>
          <t>Nonrecurring</t>
        </is>
      </c>
      <c r="H10" s="9" t="n">
        <v>5208</v>
      </c>
      <c r="I10" s="8" t="inlineStr">
        <is>
          <t>Other</t>
        </is>
      </c>
      <c r="J10" s="9" t="n">
        <v>0</v>
      </c>
      <c r="K10" s="10">
        <f>SUM(F10,H10,J10)</f>
        <v/>
      </c>
      <c r="L10" s="17">
        <f>'Total Revenue'!D8</f>
        <v/>
      </c>
      <c r="M10" s="10">
        <f>K10-L10</f>
        <v/>
      </c>
      <c r="N10" s="6" t="inlineStr">
        <is>
          <t>Proxy only. Recurring includes consumables, services and over-time software; nonrecurring includes equipment and point-in-time software.</t>
        </is>
      </c>
    </row>
    <row r="11">
      <c r="A11" s="8" t="inlineStr">
        <is>
          <t>DHR</t>
        </is>
      </c>
      <c r="B11" s="8" t="inlineStr">
        <is>
          <t>Danaher</t>
        </is>
      </c>
      <c r="C11" s="8" t="n">
        <v>2024</v>
      </c>
      <c r="D11" s="8" t="inlineStr">
        <is>
          <t>Recurring / Nonrecurring</t>
        </is>
      </c>
      <c r="E11" s="8" t="inlineStr">
        <is>
          <t>Recurring</t>
        </is>
      </c>
      <c r="F11" s="9" t="n">
        <v>19366</v>
      </c>
      <c r="G11" s="8" t="inlineStr">
        <is>
          <t>Nonrecurring</t>
        </is>
      </c>
      <c r="H11" s="9" t="n">
        <v>4509</v>
      </c>
      <c r="I11" s="8" t="inlineStr">
        <is>
          <t>Other</t>
        </is>
      </c>
      <c r="J11" s="9" t="n">
        <v>0</v>
      </c>
      <c r="K11" s="10">
        <f>SUM(F11,H11,J11)</f>
        <v/>
      </c>
      <c r="L11" s="17">
        <f>'Total Revenue'!E8</f>
        <v/>
      </c>
      <c r="M11" s="10">
        <f>K11-L11</f>
        <v/>
      </c>
      <c r="N11" s="6" t="inlineStr">
        <is>
          <t>Proxy only. Recurring includes consumables, services and over-time software; nonrecurring includes equipment and point-in-time software.</t>
        </is>
      </c>
    </row>
    <row r="12">
      <c r="A12" s="8" t="inlineStr">
        <is>
          <t>DHR</t>
        </is>
      </c>
      <c r="B12" s="8" t="inlineStr">
        <is>
          <t>Danaher</t>
        </is>
      </c>
      <c r="C12" s="8" t="n">
        <v>2025</v>
      </c>
      <c r="D12" s="8" t="inlineStr">
        <is>
          <t>Recurring / Nonrecurring</t>
        </is>
      </c>
      <c r="E12" s="8" t="inlineStr">
        <is>
          <t>Recurring</t>
        </is>
      </c>
      <c r="F12" s="9" t="n">
        <v>20127</v>
      </c>
      <c r="G12" s="8" t="inlineStr">
        <is>
          <t>Nonrecurring</t>
        </is>
      </c>
      <c r="H12" s="9" t="n">
        <v>4441</v>
      </c>
      <c r="I12" s="8" t="inlineStr">
        <is>
          <t>Other</t>
        </is>
      </c>
      <c r="J12" s="9" t="n">
        <v>0</v>
      </c>
      <c r="K12" s="10">
        <f>SUM(F12,H12,J12)</f>
        <v/>
      </c>
      <c r="L12" s="17">
        <f>'Total Revenue'!F8</f>
        <v/>
      </c>
      <c r="M12" s="10">
        <f>K12-L12</f>
        <v/>
      </c>
      <c r="N12" s="6" t="inlineStr">
        <is>
          <t>Proxy only. Recurring includes consumables, services and over-time software; nonrecurring includes equipment and point-in-time software.</t>
        </is>
      </c>
    </row>
    <row r="13">
      <c r="A13" s="8" t="inlineStr">
        <is>
          <t>QGEN</t>
        </is>
      </c>
      <c r="B13" s="8" t="inlineStr">
        <is>
          <t>QIAGEN</t>
        </is>
      </c>
      <c r="C13" s="8" t="n">
        <v>2022</v>
      </c>
      <c r="D13" s="8" t="inlineStr">
        <is>
          <t>Consumables &amp; related / Instrumentation</t>
        </is>
      </c>
      <c r="E13" s="8" t="inlineStr">
        <is>
          <t>Consumables &amp; related</t>
        </is>
      </c>
      <c r="F13" s="9" t="n">
        <v>1888.9</v>
      </c>
      <c r="G13" s="8" t="inlineStr">
        <is>
          <t>Instrumentation</t>
        </is>
      </c>
      <c r="H13" s="9" t="n">
        <v>252.6</v>
      </c>
      <c r="I13" s="8" t="inlineStr">
        <is>
          <t>Other</t>
        </is>
      </c>
      <c r="J13" s="9" t="n">
        <v>0</v>
      </c>
      <c r="K13" s="10">
        <f>SUM(F13,H13,J13)</f>
        <v/>
      </c>
      <c r="L13" s="17">
        <f>'Total Revenue'!C12</f>
        <v/>
      </c>
      <c r="M13" s="10">
        <f>K13-L13</f>
        <v/>
      </c>
      <c r="N13" s="6" t="inlineStr">
        <is>
          <t>Proxy only. Consumables &amp; related includes bioinformatics, royalties, milestones and services; instrumentation can include related service contracts.</t>
        </is>
      </c>
    </row>
    <row r="14">
      <c r="A14" s="8" t="inlineStr">
        <is>
          <t>QGEN</t>
        </is>
      </c>
      <c r="B14" s="8" t="inlineStr">
        <is>
          <t>QIAGEN</t>
        </is>
      </c>
      <c r="C14" s="8" t="n">
        <v>2023</v>
      </c>
      <c r="D14" s="8" t="inlineStr">
        <is>
          <t>Consumables &amp; related / Instrumentation</t>
        </is>
      </c>
      <c r="E14" s="8" t="inlineStr">
        <is>
          <t>Consumables &amp; related</t>
        </is>
      </c>
      <c r="F14" s="9" t="n">
        <v>1726.2</v>
      </c>
      <c r="G14" s="8" t="inlineStr">
        <is>
          <t>Instrumentation</t>
        </is>
      </c>
      <c r="H14" s="9" t="n">
        <v>239.1</v>
      </c>
      <c r="I14" s="8" t="inlineStr">
        <is>
          <t>Other</t>
        </is>
      </c>
      <c r="J14" s="9" t="n">
        <v>0</v>
      </c>
      <c r="K14" s="10">
        <f>SUM(F14,H14,J14)</f>
        <v/>
      </c>
      <c r="L14" s="17">
        <f>'Total Revenue'!D12</f>
        <v/>
      </c>
      <c r="M14" s="10">
        <f>K14-L14</f>
        <v/>
      </c>
      <c r="N14" s="6" t="inlineStr">
        <is>
          <t>Proxy only. Consumables &amp; related includes bioinformatics, royalties, milestones and services; instrumentation can include related service contracts.</t>
        </is>
      </c>
    </row>
    <row r="15">
      <c r="A15" s="8" t="inlineStr">
        <is>
          <t>QGEN</t>
        </is>
      </c>
      <c r="B15" s="8" t="inlineStr">
        <is>
          <t>QIAGEN</t>
        </is>
      </c>
      <c r="C15" s="8" t="n">
        <v>2024</v>
      </c>
      <c r="D15" s="8" t="inlineStr">
        <is>
          <t>Consumables &amp; related / Instrumentation</t>
        </is>
      </c>
      <c r="E15" s="8" t="inlineStr">
        <is>
          <t>Consumables &amp; related</t>
        </is>
      </c>
      <c r="F15" s="9" t="n">
        <v>1760.2</v>
      </c>
      <c r="G15" s="8" t="inlineStr">
        <is>
          <t>Instrumentation</t>
        </is>
      </c>
      <c r="H15" s="9" t="n">
        <v>218</v>
      </c>
      <c r="I15" s="8" t="inlineStr">
        <is>
          <t>Other</t>
        </is>
      </c>
      <c r="J15" s="9" t="n">
        <v>0</v>
      </c>
      <c r="K15" s="10">
        <f>SUM(F15,H15,J15)</f>
        <v/>
      </c>
      <c r="L15" s="17">
        <f>'Total Revenue'!E12</f>
        <v/>
      </c>
      <c r="M15" s="10">
        <f>K15-L15</f>
        <v/>
      </c>
      <c r="N15" s="6" t="inlineStr">
        <is>
          <t>Proxy only. Consumables &amp; related includes bioinformatics, royalties, milestones and services; instrumentation can include related service contracts.</t>
        </is>
      </c>
    </row>
    <row r="16">
      <c r="A16" s="8" t="inlineStr">
        <is>
          <t>QGEN</t>
        </is>
      </c>
      <c r="B16" s="8" t="inlineStr">
        <is>
          <t>QIAGEN</t>
        </is>
      </c>
      <c r="C16" s="8" t="n">
        <v>2025</v>
      </c>
      <c r="D16" s="8" t="inlineStr">
        <is>
          <t>Consumables &amp; related / Instrumentation</t>
        </is>
      </c>
      <c r="E16" s="8" t="inlineStr">
        <is>
          <t>Consumables &amp; related</t>
        </is>
      </c>
      <c r="F16" s="9" t="n">
        <v>1876.4</v>
      </c>
      <c r="G16" s="8" t="inlineStr">
        <is>
          <t>Instrumentation</t>
        </is>
      </c>
      <c r="H16" s="9" t="n">
        <v>213.6</v>
      </c>
      <c r="I16" s="8" t="inlineStr">
        <is>
          <t>Other</t>
        </is>
      </c>
      <c r="J16" s="9" t="n">
        <v>0</v>
      </c>
      <c r="K16" s="10">
        <f>SUM(F16,H16,J16)</f>
        <v/>
      </c>
      <c r="L16" s="17">
        <f>'Total Revenue'!F12</f>
        <v/>
      </c>
      <c r="M16" s="10">
        <f>K16-L16</f>
        <v/>
      </c>
      <c r="N16" s="6" t="inlineStr">
        <is>
          <t>Proxy only. Consumables &amp; related includes bioinformatics, royalties, milestones and services; instrumentation can include related service contracts.</t>
        </is>
      </c>
    </row>
  </sheetData>
  <autoFilter ref="A4:N16"/>
  <mergeCells count="2">
    <mergeCell ref="A2:N2"/>
    <mergeCell ref="A1:N1"/>
  </mergeCells>
  <conditionalFormatting sqref="M5:M16">
    <cfRule type="colorScale" priority="1">
      <colorScale>
        <cfvo type="num" val="-0.2"/>
        <cfvo type="num" val="0"/>
        <cfvo type="num" val="0.2"/>
        <color rgb="00F8696B"/>
        <color rgb="00FFEB84"/>
        <color rgb="0063BE7B"/>
      </colorScale>
    </cfRule>
  </conditionalFormatting>
  <pageMargins left="0.25" right="0.25" top="0.5" bottom="0.5" header="0.5" footer="0.5"/>
  <pageSetup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13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28" customWidth="1" min="3" max="3"/>
    <col width="18" customWidth="1" min="4" max="4"/>
    <col width="22" customWidth="1" min="5" max="5"/>
    <col width="16" customWidth="1" min="6" max="6"/>
    <col width="17" customWidth="1" min="7" max="7"/>
    <col width="13" customWidth="1" min="8" max="8"/>
    <col width="18" customWidth="1" min="9" max="9"/>
    <col width="12" customWidth="1" min="10" max="10"/>
    <col width="17" customWidth="1" min="11" max="11"/>
    <col width="17" customWidth="1" min="12" max="12"/>
    <col width="14" customWidth="1" min="13" max="13"/>
  </cols>
  <sheetData>
    <row r="1" ht="26" customHeight="1">
      <c r="A1" s="1" t="inlineStr">
        <is>
          <t>Four-Year Product / Service Mix Summary</t>
        </is>
      </c>
    </row>
    <row r="2" ht="30" customHeight="1">
      <c r="A2" s="2" t="inlineStr">
        <is>
          <t>Cumulative 2022–2025 mix for companies with clean or near-comparable disclosures.</t>
        </is>
      </c>
    </row>
    <row r="4">
      <c r="A4" s="7" t="inlineStr">
        <is>
          <t>Ticker</t>
        </is>
      </c>
      <c r="B4" s="7" t="inlineStr">
        <is>
          <t>Company</t>
        </is>
      </c>
      <c r="C4" s="7" t="inlineStr">
        <is>
          <t>Disclosure basis</t>
        </is>
      </c>
      <c r="D4" s="7" t="inlineStr">
        <is>
          <t>4Y Product ($mm)</t>
        </is>
      </c>
      <c r="E4" s="7" t="inlineStr">
        <is>
          <t>4Y Service &amp; other ($mm)</t>
        </is>
      </c>
      <c r="F4" s="7" t="inlineStr">
        <is>
          <t>4Y Royalty ($mm)</t>
        </is>
      </c>
      <c r="G4" s="7" t="inlineStr">
        <is>
          <t>4Y Total ($mm)</t>
        </is>
      </c>
      <c r="H4" s="7" t="inlineStr">
        <is>
          <t>Product mix</t>
        </is>
      </c>
      <c r="I4" s="7" t="inlineStr">
        <is>
          <t>Service &amp; other mix</t>
        </is>
      </c>
      <c r="J4" s="7" t="inlineStr">
        <is>
          <t>Royalty mix</t>
        </is>
      </c>
      <c r="K4" s="7" t="inlineStr">
        <is>
          <t>2022 service mix</t>
        </is>
      </c>
      <c r="L4" s="7" t="inlineStr">
        <is>
          <t>2025 service mix</t>
        </is>
      </c>
      <c r="M4" s="7" t="inlineStr">
        <is>
          <t>Change (ppt)</t>
        </is>
      </c>
    </row>
    <row r="5">
      <c r="A5" s="8" t="inlineStr">
        <is>
          <t>A</t>
        </is>
      </c>
      <c r="B5" s="8" t="inlineStr">
        <is>
          <t>Agilent Technologies</t>
        </is>
      </c>
      <c r="C5" s="8" t="inlineStr">
        <is>
          <t>Product / Service &amp; other</t>
        </is>
      </c>
      <c r="D5" s="17">
        <f>SUM('Product-Service'!E5:E8)</f>
        <v/>
      </c>
      <c r="E5" s="17">
        <f>SUM('Product-Service'!F5:F8)</f>
        <v/>
      </c>
      <c r="F5" s="17">
        <f>SUM('Product-Service'!G5:G8)</f>
        <v/>
      </c>
      <c r="G5" s="10">
        <f>SUM(D5:F5)</f>
        <v/>
      </c>
      <c r="H5" s="11">
        <f>IFERROR(D5/G5,0)</f>
        <v/>
      </c>
      <c r="I5" s="11">
        <f>IFERROR(E5/G5,0)</f>
        <v/>
      </c>
      <c r="J5" s="11">
        <f>IFERROR(F5/G5,0)</f>
        <v/>
      </c>
      <c r="K5" s="11">
        <f>'Product-Service'!L5</f>
        <v/>
      </c>
      <c r="L5" s="11">
        <f>'Product-Service'!L8</f>
        <v/>
      </c>
      <c r="M5" s="11">
        <f>L5-K5</f>
        <v/>
      </c>
    </row>
    <row r="6">
      <c r="A6" s="8" t="inlineStr">
        <is>
          <t>BRKR</t>
        </is>
      </c>
      <c r="B6" s="8" t="inlineStr">
        <is>
          <t>Bruker</t>
        </is>
      </c>
      <c r="C6" s="8" t="inlineStr">
        <is>
          <t>Product / Service &amp; other</t>
        </is>
      </c>
      <c r="D6" s="17">
        <f>SUM('Product-Service'!E9:E12)</f>
        <v/>
      </c>
      <c r="E6" s="17">
        <f>SUM('Product-Service'!F9:F12)</f>
        <v/>
      </c>
      <c r="F6" s="17">
        <f>SUM('Product-Service'!G9:G12)</f>
        <v/>
      </c>
      <c r="G6" s="10">
        <f>SUM(D6:F6)</f>
        <v/>
      </c>
      <c r="H6" s="11">
        <f>IFERROR(D6/G6,0)</f>
        <v/>
      </c>
      <c r="I6" s="11">
        <f>IFERROR(E6/G6,0)</f>
        <v/>
      </c>
      <c r="J6" s="11">
        <f>IFERROR(F6/G6,0)</f>
        <v/>
      </c>
      <c r="K6" s="11">
        <f>'Product-Service'!L9</f>
        <v/>
      </c>
      <c r="L6" s="11">
        <f>'Product-Service'!L12</f>
        <v/>
      </c>
      <c r="M6" s="11">
        <f>L6-K6</f>
        <v/>
      </c>
    </row>
    <row r="7">
      <c r="A7" s="8" t="inlineStr">
        <is>
          <t>ILMN</t>
        </is>
      </c>
      <c r="B7" s="8" t="inlineStr">
        <is>
          <t>Illumina</t>
        </is>
      </c>
      <c r="C7" s="8" t="inlineStr">
        <is>
          <t>Product / Service &amp; other</t>
        </is>
      </c>
      <c r="D7" s="17">
        <f>SUM('Product-Service'!E13:E16)</f>
        <v/>
      </c>
      <c r="E7" s="17">
        <f>SUM('Product-Service'!F13:F16)</f>
        <v/>
      </c>
      <c r="F7" s="17">
        <f>SUM('Product-Service'!G13:G16)</f>
        <v/>
      </c>
      <c r="G7" s="10">
        <f>SUM(D7:F7)</f>
        <v/>
      </c>
      <c r="H7" s="11">
        <f>IFERROR(D7/G7,0)</f>
        <v/>
      </c>
      <c r="I7" s="11">
        <f>IFERROR(E7/G7,0)</f>
        <v/>
      </c>
      <c r="J7" s="11">
        <f>IFERROR(F7/G7,0)</f>
        <v/>
      </c>
      <c r="K7" s="11">
        <f>'Product-Service'!L13</f>
        <v/>
      </c>
      <c r="L7" s="11">
        <f>'Product-Service'!L16</f>
        <v/>
      </c>
      <c r="M7" s="11">
        <f>L7-K7</f>
        <v/>
      </c>
    </row>
    <row r="8">
      <c r="A8" s="8" t="inlineStr">
        <is>
          <t>MTD</t>
        </is>
      </c>
      <c r="B8" s="8" t="inlineStr">
        <is>
          <t>Mettler-Toledo</t>
        </is>
      </c>
      <c r="C8" s="8" t="inlineStr">
        <is>
          <t>Product / Service</t>
        </is>
      </c>
      <c r="D8" s="17">
        <f>SUM('Product-Service'!E17:E20)</f>
        <v/>
      </c>
      <c r="E8" s="17">
        <f>SUM('Product-Service'!F17:F20)</f>
        <v/>
      </c>
      <c r="F8" s="17">
        <f>SUM('Product-Service'!G17:G20)</f>
        <v/>
      </c>
      <c r="G8" s="10">
        <f>SUM(D8:F8)</f>
        <v/>
      </c>
      <c r="H8" s="11">
        <f>IFERROR(D8/G8,0)</f>
        <v/>
      </c>
      <c r="I8" s="11">
        <f>IFERROR(E8/G8,0)</f>
        <v/>
      </c>
      <c r="J8" s="11">
        <f>IFERROR(F8/G8,0)</f>
        <v/>
      </c>
      <c r="K8" s="11">
        <f>'Product-Service'!L17</f>
        <v/>
      </c>
      <c r="L8" s="11">
        <f>'Product-Service'!L20</f>
        <v/>
      </c>
      <c r="M8" s="11">
        <f>L8-K8</f>
        <v/>
      </c>
    </row>
    <row r="9">
      <c r="A9" s="8" t="inlineStr">
        <is>
          <t>PACB</t>
        </is>
      </c>
      <c r="B9" s="8" t="inlineStr">
        <is>
          <t>Pacific Biosciences</t>
        </is>
      </c>
      <c r="C9" s="8" t="inlineStr">
        <is>
          <t>Product / Service &amp; other</t>
        </is>
      </c>
      <c r="D9" s="17">
        <f>SUM('Product-Service'!E21:E24)</f>
        <v/>
      </c>
      <c r="E9" s="17">
        <f>SUM('Product-Service'!F21:F24)</f>
        <v/>
      </c>
      <c r="F9" s="17">
        <f>SUM('Product-Service'!G21:G24)</f>
        <v/>
      </c>
      <c r="G9" s="10">
        <f>SUM(D9:F9)</f>
        <v/>
      </c>
      <c r="H9" s="11">
        <f>IFERROR(D9/G9,0)</f>
        <v/>
      </c>
      <c r="I9" s="11">
        <f>IFERROR(E9/G9,0)</f>
        <v/>
      </c>
      <c r="J9" s="11">
        <f>IFERROR(F9/G9,0)</f>
        <v/>
      </c>
      <c r="K9" s="11">
        <f>'Product-Service'!L21</f>
        <v/>
      </c>
      <c r="L9" s="11">
        <f>'Product-Service'!L24</f>
        <v/>
      </c>
      <c r="M9" s="11">
        <f>L9-K9</f>
        <v/>
      </c>
    </row>
    <row r="10">
      <c r="A10" s="8" t="inlineStr">
        <is>
          <t>RVTY</t>
        </is>
      </c>
      <c r="B10" s="8" t="inlineStr">
        <is>
          <t>Revvity</t>
        </is>
      </c>
      <c r="C10" s="8" t="inlineStr">
        <is>
          <t>Product / Service</t>
        </is>
      </c>
      <c r="D10" s="17">
        <f>SUM('Product-Service'!E25:E28)</f>
        <v/>
      </c>
      <c r="E10" s="17">
        <f>SUM('Product-Service'!F25:F28)</f>
        <v/>
      </c>
      <c r="F10" s="17">
        <f>SUM('Product-Service'!G25:G28)</f>
        <v/>
      </c>
      <c r="G10" s="10">
        <f>SUM(D10:F10)</f>
        <v/>
      </c>
      <c r="H10" s="11">
        <f>IFERROR(D10/G10,0)</f>
        <v/>
      </c>
      <c r="I10" s="11">
        <f>IFERROR(E10/G10,0)</f>
        <v/>
      </c>
      <c r="J10" s="11">
        <f>IFERROR(F10/G10,0)</f>
        <v/>
      </c>
      <c r="K10" s="11">
        <f>'Product-Service'!L25</f>
        <v/>
      </c>
      <c r="L10" s="11">
        <f>'Product-Service'!L28</f>
        <v/>
      </c>
      <c r="M10" s="11">
        <f>L10-K10</f>
        <v/>
      </c>
    </row>
    <row r="11">
      <c r="A11" s="8" t="inlineStr">
        <is>
          <t>TECH</t>
        </is>
      </c>
      <c r="B11" s="8" t="inlineStr">
        <is>
          <t>Bio-Techne</t>
        </is>
      </c>
      <c r="C11" s="8" t="inlineStr">
        <is>
          <t>Product / Service / Royalty</t>
        </is>
      </c>
      <c r="D11" s="17">
        <f>SUM('Product-Service'!E29:E32)</f>
        <v/>
      </c>
      <c r="E11" s="17">
        <f>SUM('Product-Service'!F29:F32)</f>
        <v/>
      </c>
      <c r="F11" s="17">
        <f>SUM('Product-Service'!G29:G32)</f>
        <v/>
      </c>
      <c r="G11" s="10">
        <f>SUM(D11:F11)</f>
        <v/>
      </c>
      <c r="H11" s="11">
        <f>IFERROR(D11/G11,0)</f>
        <v/>
      </c>
      <c r="I11" s="11">
        <f>IFERROR(E11/G11,0)</f>
        <v/>
      </c>
      <c r="J11" s="11">
        <f>IFERROR(F11/G11,0)</f>
        <v/>
      </c>
      <c r="K11" s="11">
        <f>'Product-Service'!L29</f>
        <v/>
      </c>
      <c r="L11" s="11">
        <f>'Product-Service'!L32</f>
        <v/>
      </c>
      <c r="M11" s="11">
        <f>L11-K11</f>
        <v/>
      </c>
    </row>
    <row r="12">
      <c r="A12" s="8" t="inlineStr">
        <is>
          <t>TMO</t>
        </is>
      </c>
      <c r="B12" s="8" t="inlineStr">
        <is>
          <t>Thermo Fisher Scientific</t>
        </is>
      </c>
      <c r="C12" s="8" t="inlineStr">
        <is>
          <t>Product / Service</t>
        </is>
      </c>
      <c r="D12" s="17">
        <f>SUM('Product-Service'!E33:E36)</f>
        <v/>
      </c>
      <c r="E12" s="17">
        <f>SUM('Product-Service'!F33:F36)</f>
        <v/>
      </c>
      <c r="F12" s="17">
        <f>SUM('Product-Service'!G33:G36)</f>
        <v/>
      </c>
      <c r="G12" s="10">
        <f>SUM(D12:F12)</f>
        <v/>
      </c>
      <c r="H12" s="11">
        <f>IFERROR(D12/G12,0)</f>
        <v/>
      </c>
      <c r="I12" s="11">
        <f>IFERROR(E12/G12,0)</f>
        <v/>
      </c>
      <c r="J12" s="11">
        <f>IFERROR(F12/G12,0)</f>
        <v/>
      </c>
      <c r="K12" s="11">
        <f>'Product-Service'!L33</f>
        <v/>
      </c>
      <c r="L12" s="11">
        <f>'Product-Service'!L36</f>
        <v/>
      </c>
      <c r="M12" s="11">
        <f>L12-K12</f>
        <v/>
      </c>
    </row>
    <row r="13">
      <c r="A13" s="8" t="inlineStr">
        <is>
          <t>WAT</t>
        </is>
      </c>
      <c r="B13" s="8" t="inlineStr">
        <is>
          <t>Waters</t>
        </is>
      </c>
      <c r="C13" s="8" t="inlineStr">
        <is>
          <t>Product / Service</t>
        </is>
      </c>
      <c r="D13" s="17">
        <f>SUM('Product-Service'!E37:E40)</f>
        <v/>
      </c>
      <c r="E13" s="17">
        <f>SUM('Product-Service'!F37:F40)</f>
        <v/>
      </c>
      <c r="F13" s="17">
        <f>SUM('Product-Service'!G37:G40)</f>
        <v/>
      </c>
      <c r="G13" s="10">
        <f>SUM(D13:F13)</f>
        <v/>
      </c>
      <c r="H13" s="11">
        <f>IFERROR(D13/G13,0)</f>
        <v/>
      </c>
      <c r="I13" s="11">
        <f>IFERROR(E13/G13,0)</f>
        <v/>
      </c>
      <c r="J13" s="11">
        <f>IFERROR(F13/G13,0)</f>
        <v/>
      </c>
      <c r="K13" s="11">
        <f>'Product-Service'!L37</f>
        <v/>
      </c>
      <c r="L13" s="11">
        <f>'Product-Service'!L40</f>
        <v/>
      </c>
      <c r="M13" s="11">
        <f>L13-K13</f>
        <v/>
      </c>
    </row>
  </sheetData>
  <autoFilter ref="A4:M13"/>
  <mergeCells count="2">
    <mergeCell ref="A2:M2"/>
    <mergeCell ref="A1:M1"/>
  </mergeCells>
  <conditionalFormatting sqref="M5:M1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63" customWidth="1" min="3" max="3"/>
    <col width="63" customWidth="1" min="4" max="4"/>
    <col width="35" customWidth="1" min="5" max="5"/>
    <col width="65" customWidth="1" min="6" max="6"/>
  </cols>
  <sheetData>
    <row r="1" ht="26" customHeight="1">
      <c r="A1" s="1" t="inlineStr">
        <is>
          <t>Sources, Disclosure Basis &amp; Limitations</t>
        </is>
      </c>
    </row>
    <row r="2" ht="30" customHeight="1">
      <c r="A2" s="2" t="inlineStr">
        <is>
          <t>Plain-text URLs are included for verification. The workbook preserves the earlier compiled dataset.</t>
        </is>
      </c>
    </row>
    <row r="4">
      <c r="A4" s="7" t="inlineStr">
        <is>
          <t>Ticker</t>
        </is>
      </c>
      <c r="B4" s="7" t="inlineStr">
        <is>
          <t>Company</t>
        </is>
      </c>
      <c r="C4" s="7" t="inlineStr">
        <is>
          <t>Source 1</t>
        </is>
      </c>
      <c r="D4" s="7" t="inlineStr">
        <is>
          <t>Source 2</t>
        </is>
      </c>
      <c r="E4" s="7" t="inlineStr">
        <is>
          <t>Disclosure basis used</t>
        </is>
      </c>
      <c r="F4" s="7" t="inlineStr">
        <is>
          <t>Key limitation / note</t>
        </is>
      </c>
    </row>
    <row r="5" ht="55" customHeight="1">
      <c r="A5" s="8" t="inlineStr">
        <is>
          <t>A</t>
        </is>
      </c>
      <c r="B5" s="8" t="inlineStr">
        <is>
          <t>Agilent Technologies</t>
        </is>
      </c>
      <c r="C5" s="19" t="inlineStr">
        <is>
          <t>https://s24.q4cdn.com/305549747/files/doc_financials/2025/ar/A-ARS-10-K-BMK-2025.pdf</t>
        </is>
      </c>
      <c r="D5" s="19" t="inlineStr">
        <is>
          <t>https://s24.q4cdn.com/305549747/files/doc_financials/2023/ar/agilent-form-10-k_fy23.pdf</t>
        </is>
      </c>
      <c r="E5" s="6" t="inlineStr">
        <is>
          <t>Product / Service &amp; other</t>
        </is>
      </c>
      <c r="F5" s="6" t="inlineStr">
        <is>
          <t>Service is combined with other revenue.</t>
        </is>
      </c>
    </row>
    <row r="6" ht="55" customHeight="1">
      <c r="A6" s="8" t="inlineStr">
        <is>
          <t>BIO</t>
        </is>
      </c>
      <c r="B6" s="8" t="inlineStr">
        <is>
          <t>Bio-Rad Laboratories</t>
        </is>
      </c>
      <c r="C6" s="19" t="inlineStr">
        <is>
          <t>https://www.sec.gov/Archives/edgar/data/12208/000001220826000010/bio-20251231.htm</t>
        </is>
      </c>
      <c r="D6" s="19" t="inlineStr">
        <is>
          <t>https://www.sec.gov/Archives/edgar/data/12208/000001220825000007/bio-20241231.htm</t>
        </is>
      </c>
      <c r="E6" s="6" t="inlineStr">
        <is>
          <t>Life Science / Clinical Diagnostics / Other</t>
        </is>
      </c>
      <c r="F6" s="6" t="inlineStr">
        <is>
          <t>Segment split only; not product/service.</t>
        </is>
      </c>
    </row>
    <row r="7" ht="55" customHeight="1">
      <c r="A7" s="8" t="inlineStr">
        <is>
          <t>BRKR</t>
        </is>
      </c>
      <c r="B7" s="8" t="inlineStr">
        <is>
          <t>Bruker</t>
        </is>
      </c>
      <c r="C7" s="19" t="inlineStr">
        <is>
          <t>https://s22.q4cdn.com/617463959/files/doc_financials/2025/ar/2025-Bruker-Annual-Report.pdf</t>
        </is>
      </c>
      <c r="D7" s="19" t="inlineStr">
        <is>
          <t>https://annualreport.stocklight.com/nasdaq/brkr/23688325.pdf</t>
        </is>
      </c>
      <c r="E7" s="6" t="inlineStr">
        <is>
          <t>Product / Service &amp; other</t>
        </is>
      </c>
      <c r="F7" s="6" t="inlineStr">
        <is>
          <t>Service is combined with other revenue.</t>
        </is>
      </c>
    </row>
    <row r="8" ht="55" customHeight="1">
      <c r="A8" s="8" t="inlineStr">
        <is>
          <t>DHR</t>
        </is>
      </c>
      <c r="B8" s="8" t="inlineStr">
        <is>
          <t>Danaher</t>
        </is>
      </c>
      <c r="C8" s="19" t="inlineStr">
        <is>
          <t>https://filecache.investorroom.com/mr5ir_danaher/974/Danaher%202025%20Annual%20Report.pdf</t>
        </is>
      </c>
      <c r="D8" s="19" t="inlineStr">
        <is>
          <t>https://www.sec.gov/Archives/edgar/data/313616/000031361624000052/dhr-20231231.htm</t>
        </is>
      </c>
      <c r="E8" s="6" t="inlineStr">
        <is>
          <t>Recurring / Nonrecurring</t>
        </is>
      </c>
      <c r="F8" s="6" t="inlineStr">
        <is>
          <t>Proxy only; recurring contains both products and services.</t>
        </is>
      </c>
    </row>
    <row r="9" ht="55" customHeight="1">
      <c r="A9" s="8" t="inlineStr">
        <is>
          <t>ILMN</t>
        </is>
      </c>
      <c r="B9" s="8" t="inlineStr">
        <is>
          <t>Illumina</t>
        </is>
      </c>
      <c r="C9" s="19" t="inlineStr">
        <is>
          <t>https://www.sec.gov/Archives/edgar/data/1110803/000111080326000024/ilmn-20251228.htm</t>
        </is>
      </c>
      <c r="D9" s="19" t="inlineStr">
        <is>
          <t>https://www.sec.gov/Archives/edgar/data/1110803/000119312524087278/d534823dars.pdf</t>
        </is>
      </c>
      <c r="E9" s="6" t="inlineStr">
        <is>
          <t>Product / Service &amp; other</t>
        </is>
      </c>
      <c r="F9" s="6" t="inlineStr">
        <is>
          <t>Service is combined with other; GRAIL affects comparability.</t>
        </is>
      </c>
    </row>
    <row r="10" ht="55" customHeight="1">
      <c r="A10" s="8" t="inlineStr">
        <is>
          <t>MTD</t>
        </is>
      </c>
      <c r="B10" s="8" t="inlineStr">
        <is>
          <t>Mettler-Toledo</t>
        </is>
      </c>
      <c r="C10" s="19" t="inlineStr">
        <is>
          <t>https://d18rn0p25nwr6d.cloudfront.net/CIK-0001037646/074ad430-471b-498e-a0f5-1f794b20eeee.pdf</t>
        </is>
      </c>
      <c r="D10" s="20" t="n"/>
      <c r="E10" s="6" t="inlineStr">
        <is>
          <t>Product / Service</t>
        </is>
      </c>
      <c r="F10" s="6" t="inlineStr">
        <is>
          <t>Clean disclosure; small rounding difference in 2024.</t>
        </is>
      </c>
    </row>
    <row r="11" ht="55" customHeight="1">
      <c r="A11" s="8" t="inlineStr">
        <is>
          <t>PACB</t>
        </is>
      </c>
      <c r="B11" s="8" t="inlineStr">
        <is>
          <t>Pacific Biosciences</t>
        </is>
      </c>
      <c r="C11" s="19" t="inlineStr">
        <is>
          <t>https://www.sec.gov/Archives/edgar/data/1299130/000129913024000054/pacb-20231231.htm</t>
        </is>
      </c>
      <c r="D11" s="20" t="n"/>
      <c r="E11" s="6" t="inlineStr">
        <is>
          <t>Product / Service &amp; other</t>
        </is>
      </c>
      <c r="F11" s="6" t="inlineStr">
        <is>
          <t>Service is combined with other revenue.</t>
        </is>
      </c>
    </row>
    <row r="12" ht="55" customHeight="1">
      <c r="A12" s="8" t="inlineStr">
        <is>
          <t>QGEN</t>
        </is>
      </c>
      <c r="B12" s="8" t="inlineStr">
        <is>
          <t>QIAGEN</t>
        </is>
      </c>
      <c r="C12" s="19" t="inlineStr">
        <is>
          <t>https://s28.q4cdn.com/125951340/files/doc_financials/2023/ar/Cover-2023-20-F-Final-w-exhibits.pdf</t>
        </is>
      </c>
      <c r="D12" s="19" t="inlineStr">
        <is>
          <t>https://www.marketscreener.com/news/qiagen-n-2025-annual-report-2025-annual-financial-report-ce7f5bded889f322</t>
        </is>
      </c>
      <c r="E12" s="6" t="inlineStr">
        <is>
          <t>Consumables &amp; related / Instrumentation</t>
        </is>
      </c>
      <c r="F12" s="6" t="inlineStr">
        <is>
          <t>Proxy only; categories are not clean product/service.</t>
        </is>
      </c>
    </row>
    <row r="13" ht="55" customHeight="1">
      <c r="A13" s="8" t="inlineStr">
        <is>
          <t>RVTY</t>
        </is>
      </c>
      <c r="B13" s="8" t="inlineStr">
        <is>
          <t>Revvity</t>
        </is>
      </c>
      <c r="C13" s="19" t="inlineStr">
        <is>
          <t>https://www.sec.gov/Archives/edgar/data/31791/000003179125000009/revv-20241229.htm</t>
        </is>
      </c>
      <c r="D13" s="20" t="n"/>
      <c r="E13" s="6" t="inlineStr">
        <is>
          <t>Product / Service</t>
        </is>
      </c>
      <c r="F13" s="6" t="inlineStr">
        <is>
          <t>Clean disclosure.</t>
        </is>
      </c>
    </row>
    <row r="14" ht="55" customHeight="1">
      <c r="A14" s="8" t="inlineStr">
        <is>
          <t>TECH</t>
        </is>
      </c>
      <c r="B14" s="8" t="inlineStr">
        <is>
          <t>Bio-Techne</t>
        </is>
      </c>
      <c r="C14" s="19" t="inlineStr">
        <is>
          <t>https://www.sec.gov/Archives/edgar/data/842023/000155837025011716/tech-20250630x10k.htm</t>
        </is>
      </c>
      <c r="D14" s="20" t="n"/>
      <c r="E14" s="6" t="inlineStr">
        <is>
          <t>Product / Service / Royalty</t>
        </is>
      </c>
      <c r="F14" s="6" t="inlineStr">
        <is>
          <t>Product equals consumables plus instruments; 2025 rounding difference.</t>
        </is>
      </c>
    </row>
    <row r="15" ht="55" customHeight="1">
      <c r="A15" s="8" t="inlineStr">
        <is>
          <t>TMO</t>
        </is>
      </c>
      <c r="B15" s="8" t="inlineStr">
        <is>
          <t>Thermo Fisher Scientific</t>
        </is>
      </c>
      <c r="C15" s="21" t="inlineStr">
        <is>
          <t>https://www.sec.gov/Archives/edgar/data/97745/000009774526000018/tmo-20251231.htm</t>
        </is>
      </c>
      <c r="D15" s="20" t="n"/>
      <c r="E15" s="6" t="inlineStr">
        <is>
          <t>Product / Service</t>
        </is>
      </c>
      <c r="F15" s="6" t="inlineStr">
        <is>
          <t>Clean product/service disclosure; rounded component values can differ from total revenue by up to $1mm.</t>
        </is>
      </c>
    </row>
    <row r="16" ht="55" customHeight="1">
      <c r="A16" s="8" t="inlineStr">
        <is>
          <t>WAT</t>
        </is>
      </c>
      <c r="B16" s="8" t="inlineStr">
        <is>
          <t>Waters</t>
        </is>
      </c>
      <c r="C16" s="19" t="inlineStr">
        <is>
          <t>https://www.sec.gov/Archives/edgar/data/1000697/000119312525034579/d791800d10k.htm</t>
        </is>
      </c>
      <c r="D16" s="20" t="n"/>
      <c r="E16" s="6" t="inlineStr">
        <is>
          <t>Product / Service</t>
        </is>
      </c>
      <c r="F16" s="6" t="inlineStr">
        <is>
          <t>Clean disclosure.</t>
        </is>
      </c>
    </row>
  </sheetData>
  <autoFilter ref="A4:F16"/>
  <mergeCells count="2">
    <mergeCell ref="A2:F2"/>
    <mergeCell ref="A1:F1"/>
  </mergeCells>
  <hyperlinks>
    <hyperlink xmlns:r="http://schemas.openxmlformats.org/officeDocument/2006/relationships" ref="C5" r:id="rId1"/>
    <hyperlink xmlns:r="http://schemas.openxmlformats.org/officeDocument/2006/relationships" ref="D5" r:id="rId2"/>
    <hyperlink xmlns:r="http://schemas.openxmlformats.org/officeDocument/2006/relationships" ref="C6" r:id="rId3"/>
    <hyperlink xmlns:r="http://schemas.openxmlformats.org/officeDocument/2006/relationships" ref="D6" r:id="rId4"/>
    <hyperlink xmlns:r="http://schemas.openxmlformats.org/officeDocument/2006/relationships" ref="C7" r:id="rId5"/>
    <hyperlink xmlns:r="http://schemas.openxmlformats.org/officeDocument/2006/relationships" ref="D7" r:id="rId6"/>
    <hyperlink xmlns:r="http://schemas.openxmlformats.org/officeDocument/2006/relationships" ref="C8" r:id="rId7"/>
    <hyperlink xmlns:r="http://schemas.openxmlformats.org/officeDocument/2006/relationships" ref="D8" r:id="rId8"/>
    <hyperlink xmlns:r="http://schemas.openxmlformats.org/officeDocument/2006/relationships" ref="C9" r:id="rId9"/>
    <hyperlink xmlns:r="http://schemas.openxmlformats.org/officeDocument/2006/relationships" ref="D9" r:id="rId10"/>
    <hyperlink xmlns:r="http://schemas.openxmlformats.org/officeDocument/2006/relationships" ref="C10" r:id="rId11"/>
    <hyperlink xmlns:r="http://schemas.openxmlformats.org/officeDocument/2006/relationships" ref="C11" r:id="rId12"/>
    <hyperlink xmlns:r="http://schemas.openxmlformats.org/officeDocument/2006/relationships" ref="C12" r:id="rId13"/>
    <hyperlink xmlns:r="http://schemas.openxmlformats.org/officeDocument/2006/relationships" ref="D12" r:id="rId14"/>
    <hyperlink xmlns:r="http://schemas.openxmlformats.org/officeDocument/2006/relationships" ref="C13" r:id="rId15"/>
    <hyperlink xmlns:r="http://schemas.openxmlformats.org/officeDocument/2006/relationships" ref="C14" r:id="rId16"/>
    <hyperlink xmlns:r="http://schemas.openxmlformats.org/officeDocument/2006/relationships" ref="C15" r:id="rId17"/>
    <hyperlink xmlns:r="http://schemas.openxmlformats.org/officeDocument/2006/relationships" ref="C16" r:id="rId18"/>
  </hyperlinks>
  <pageMargins left="0.25" right="0.25" top="0.5" bottom="0.5" header="0.5" footer="0.5"/>
  <pageSetup fitToHeight="0" fitToWidth="1"/>
  <tableParts count="1">
    <tablePart xmlns:r="http://schemas.openxmlformats.org/officeDocument/2006/relationships" r:id="rId19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2026-08-03T22:46:15Z</dcterms:created>
  <dcterms:modified xmlns:dcterms="http://purl.org/dc/terms/" xmlns:xsi="http://www.w3.org/2001/XMLSchema-instance" xsi:type="dcterms:W3CDTF">2026-08-03T22:46:52Z</dcterms:modified>
</cp:coreProperties>
</file>